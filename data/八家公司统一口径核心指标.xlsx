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3.xml" ContentType="application/vnd.openxmlformats-officedocument.spreadsheetml.table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96e8ec950ad40e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说明" sheetId="1" r:id="R721484cfa9c04812"/>
    <x:sheet xmlns:r="http://schemas.openxmlformats.org/officeDocument/2006/relationships" name="01_公司统一指标" sheetId="2" r:id="R8ff07d936ef34175"/>
    <x:sheet xmlns:r="http://schemas.openxmlformats.org/officeDocument/2006/relationships" name="02_核心指标重算" sheetId="3" r:id="R4117d580924940fd"/>
    <x:sheet xmlns:r="http://schemas.openxmlformats.org/officeDocument/2006/relationships" name="03_报告修改台账" sheetId="4" r:id="Ra19d7463dfb44ccf"/>
    <x:sheet xmlns:r="http://schemas.openxmlformats.org/officeDocument/2006/relationships" name="04_金额组成与下限" sheetId="5" r:id="R572cff93c2804bb2"/>
    <x:sheet xmlns:r="http://schemas.openxmlformats.org/officeDocument/2006/relationships" name="05_待确认事项" sheetId="6" r:id="Rdbaf863bd4464214"/>
    <x:sheet xmlns:r="http://schemas.openxmlformats.org/officeDocument/2006/relationships" name="06_步骤6验收结论" sheetId="7" r:id="R2f7e169969b3451c"/>
  </x:sheets>
</x:workbook>
</file>

<file path=xl/sharedStrings.xml><?xml version="1.0" encoding="utf-8"?>
<x:sst xmlns:x="http://schemas.openxmlformats.org/spreadsheetml/2006/main">
  <x:si>
    <x:t xml:space="preserve">步骤6：统一指标重算与Week 6核心报告修订</x:t>
  </x:si>
  <x:si>
    <x:t xml:space="preserve">项目</x:t>
  </x:si>
  <x:si>
    <x:t xml:space="preserve">内容</x:t>
  </x:si>
  <x:si>
    <x:t xml:space="preserve">步骤状态</x:t>
  </x:si>
  <x:si>
    <x:t xml:space="preserve">输入</x:t>
  </x:si>
  <x:si>
    <x:t xml:space="preserve">步骤5 FINAL_APPROVED、统一口径v1.0、步骤3金额与轮次字段</x:t>
  </x:si>
  <x:si>
    <x:t xml:space="preserve">处理目标</x:t>
  </x:si>
  <x:si>
    <x:t xml:space="preserve">重算核心指标，并据此生成修订版DOCX、PDF和Markdown报告</x:t>
  </x:si>
  <x:si>
    <x:t xml:space="preserve">原始事实层修改</x:t>
  </x:si>
  <x:si>
    <x:t xml:space="preserve">否；仅新增统一指标层与修订版研究报告</x:t>
  </x:si>
  <x:si>
    <x:t xml:space="preserve">公司数量</x:t>
  </x:si>
  <x:si>
    <x:t xml:space="preserve">统一融资轮次</x:t>
  </x:si>
  <x:si>
    <x:t xml:space="preserve">可核验公司融资金额下限（万元）</x:t>
  </x:si>
  <x:si>
    <x:t xml:space="preserve">可核验老股转让对价下限（万元）</x:t>
  </x:si>
  <x:si>
    <x:t xml:space="preserve">确认PE/VC法律主体记录</x:t>
  </x:si>
  <x:si>
    <x:t xml:space="preserve">PE/VC投资体系总数</x:t>
  </x:si>
  <x:si>
    <x:t xml:space="preserve">不生成：云汉芯城体系尚不可自动审计合并</x:t>
  </x:si>
  <x:si>
    <x:t xml:space="preserve">待人工确认事项</x:t>
  </x:si>
  <x:si>
    <x:t xml:space="preserve">下一步骤</x:t>
  </x:si>
  <x:si>
    <x:t xml:space="preserve">公司代码</x:t>
  </x:si>
  <x:si>
    <x:t xml:space="preserve">公司</x:t>
  </x:si>
  <x:si>
    <x:t xml:space="preserve">融资轮次</x:t>
  </x:si>
  <x:si>
    <x:t xml:space="preserve">轮次说明</x:t>
  </x:si>
  <x:si>
    <x:t xml:space="preserve">可核验公司融资金额（万元）</x:t>
  </x:si>
  <x:si>
    <x:t xml:space="preserve">融资金额状态</x:t>
  </x:si>
  <x:si>
    <x:t xml:space="preserve">融资金额说明</x:t>
  </x:si>
  <x:si>
    <x:t xml:space="preserve">可核验股权转让金额（万元）</x:t>
  </x:si>
  <x:si>
    <x:t xml:space="preserve">转让金额状态</x:t>
  </x:si>
  <x:si>
    <x:t xml:space="preserve">转让金额说明</x:t>
  </x:si>
  <x:si>
    <x:t xml:space="preserve">公司内去重直接法律主体数</x:t>
  </x:si>
  <x:si>
    <x:t xml:space="preserve">确认PE/VC法律主体数</x:t>
  </x:si>
  <x:si>
    <x:t xml:space="preserve">投资体系状态</x:t>
  </x:si>
  <x:si>
    <x:t xml:space="preserve">混合融资轮次组</x:t>
  </x:si>
  <x:si>
    <x:t xml:space="preserve">披露限制</x:t>
  </x:si>
  <x:si>
    <x:t xml:space="preserve">主要证据页</x:t>
  </x:si>
  <x:si>
    <x:t xml:space="preserve">301563</x:t>
  </x:si>
  <x:si>
    <x:t xml:space="preserve">云汉芯城</x:t>
  </x:si>
  <x:si>
    <x:t xml:space="preserve">2009—2020年；2009年为原股东增资，2014年后进入机构化融资阶段</x:t>
  </x:si>
  <x:si>
    <x:t xml:space="preserve">KNOWN_LOWER_BOUND</x:t>
  </x:si>
  <x:si>
    <x:t xml:space="preserve">4个交易组成部分金额直接披露，另4个融资性增资组成部分总对价未披露；注册资本增加额不等于融资总对价</x:t>
  </x:si>
  <x:si>
    <x:t xml:space="preserve">4项转让对价可用，另2项未披露</x:t>
  </x:si>
  <x:si>
    <x:t xml:space="preserve">PATH_EDGES_AVAILABLE_SYSTEM_COUNT_NOT_AUTOMATIC</x:t>
  </x:si>
  <x:si>
    <x:t xml:space="preserve">融资金额和转让金额均存在未披露组成部分</x:t>
  </x:si>
  <x:si>
    <x:t xml:space="preserve">PDF第56—65页/正文第55—64页；投资关系PDF第82—91页</x:t>
  </x:si>
  <x:si>
    <x:t xml:space="preserve">001282</x:t>
  </x:si>
  <x:si>
    <x:t xml:space="preserve">三联锻造</x:t>
  </x:si>
  <x:si>
    <x:t xml:space="preserve">2019年员工持股平台增资</x:t>
  </x:si>
  <x:si>
    <x:t xml:space="preserve">CALCULATED_COMPLETE</x:t>
  </x:si>
  <x:si>
    <x:t xml:space="preserve">计算值：新增注册资本348万元×4.50元/股</x:t>
  </x:si>
  <x:si>
    <x:t xml:space="preserve">NOT_MAIN_DISCLOSURE</x:t>
  </x:si>
  <x:si>
    <x:t xml:space="preserve">清晰披露范围内未作为主要二级转让事件</x:t>
  </x:si>
  <x:si>
    <x:t xml:space="preserve">EMPLOYEE_PLATFORM_1</x:t>
  </x:si>
  <x:si>
    <x:t xml:space="preserve">部分历史事项为聚合披露，不强行拆分</x:t>
  </x:si>
  <x:si>
    <x:t xml:space="preserve">PDF第35页/正文第34页；股份支付PDF第39页/正文第38页</x:t>
  </x:si>
  <x:si>
    <x:t xml:space="preserve">301581</x:t>
  </x:si>
  <x:si>
    <x:t xml:space="preserve">黄山谷捷</x:t>
  </x:si>
  <x:si>
    <x:t xml:space="preserve">2021年产业资本增资；2022年员工平台增资</x:t>
  </x:si>
  <x:si>
    <x:t xml:space="preserve">计算值：514.2857×22.42 + 90.2256×23.55</x:t>
  </x:si>
  <x:si>
    <x:t xml:space="preserve">DISCLOSED_ZERO</x:t>
  </x:si>
  <x:si>
    <x:t xml:space="preserve">2021年4月架构调整原文明示零对价</x:t>
  </x:si>
  <x:si>
    <x:t xml:space="preserve">NOT_AGGREGATED</x:t>
  </x:si>
  <x:si>
    <x:t xml:space="preserve">PDF第42—45页/正文第41—44页</x:t>
  </x:si>
  <x:si>
    <x:t xml:space="preserve">603418</x:t>
  </x:si>
  <x:si>
    <x:t xml:space="preserve">友升股份</x:t>
  </x:si>
  <x:si>
    <x:t xml:space="preserve">2020年、2022年两轮机构增资</x:t>
  </x:si>
  <x:si>
    <x:t xml:space="preserve">DISCLOSED_COMPLETE</x:t>
  </x:si>
  <x:si>
    <x:t xml:space="preserve">原文披露：11,500万元+37,000万元</x:t>
  </x:si>
  <x:si>
    <x:t xml:space="preserve">JINPU_2_LEGAL_ENTITIES_1_SYSTEM; OTHERS_NOT_AGGREGATED</x:t>
  </x:si>
  <x:si>
    <x:t xml:space="preserve">融资PDF第44—46页；基金性质PDF第70—73页；一致行动关系PDF第81页</x:t>
  </x:si>
  <x:si>
    <x:t xml:space="preserve">688758</x:t>
  </x:si>
  <x:si>
    <x:t xml:space="preserve">赛分科技</x:t>
  </x:si>
  <x:si>
    <x:t xml:space="preserve">2021年连续三轮增资</x:t>
  </x:si>
  <x:si>
    <x:t xml:space="preserve">原文披露：18,500万元+54,000万元+1,500万元</x:t>
  </x:si>
  <x:si>
    <x:t xml:space="preserve">DISCLOSED_COMPLETE_FOR_MAIN_OLD_SHARE_TRANSFER</x:t>
  </x:si>
  <x:si>
    <x:t xml:space="preserve">2021年4月四笔老股转让合计3,000万元；另有一笔零对价转让</x:t>
  </x:si>
  <x:si>
    <x:t xml:space="preserve">NO_AUTOMATIC_BRAND_GROUPING</x:t>
  </x:si>
  <x:si>
    <x:t xml:space="preserve">PDF第55—60页/正文第54—59页</x:t>
  </x:si>
  <x:si>
    <x:t xml:space="preserve">688775</x:t>
  </x:si>
  <x:si>
    <x:t xml:space="preserve">影石创新</x:t>
  </x:si>
  <x:si>
    <x:t xml:space="preserve">当前清晰披露范围内未识别新增资本；不代表完整历史融资为0</x:t>
  </x:si>
  <x:si>
    <x:t xml:space="preserve">HISTORICAL_NOT_RECONSTRUCTIBLE</x:t>
  </x:si>
  <x:si>
    <x:t xml:space="preserve">早期投资者逐轮进入过程未完整披露，不填0</x:t>
  </x:si>
  <x:si>
    <x:t xml:space="preserve">DISCLOSED</x:t>
  </x:si>
  <x:si>
    <x:t xml:space="preserve">2023年德朴投资向汇智同裕转让存量股权，资金不进入发行人</x:t>
  </x:si>
  <x:si>
    <x:t xml:space="preserve">NOT_RECONSTRUCTED</x:t>
  </x:si>
  <x:si>
    <x:t xml:space="preserve">早期融资轮次未逐轮披露</x:t>
  </x:si>
  <x:si>
    <x:t xml:space="preserve">PDF第62—65页/正文第62—65页</x:t>
  </x:si>
  <x:si>
    <x:t xml:space="preserve">920100</x:t>
  </x:si>
  <x:si>
    <x:t xml:space="preserve">三协电机</x:t>
  </x:si>
  <x:si>
    <x:t xml:space="preserve">2022年私募基金融资；2023年董事、高管和核心员工认购</x:t>
  </x:si>
  <x:si>
    <x:t xml:space="preserve">原文披露：2,374.40万元+1,723.09万元</x:t>
  </x:si>
  <x:si>
    <x:t xml:space="preserve">2022_PEVC_2_LEGAL_ENTITIES_1_SYSTEM; 2023_EMPLOYEE_PLAN_1_SYSTEM</x:t>
  </x:si>
  <x:si>
    <x:t xml:space="preserve">PDF第31—32、39、250、325—326、359页</x:t>
  </x:si>
  <x:si>
    <x:t xml:space="preserve">920116</x:t>
  </x:si>
  <x:si>
    <x:t xml:space="preserve">星图测控</x:t>
  </x:si>
  <x:si>
    <x:t xml:space="preserve">2023年定向发行/员工持股</x:t>
  </x:si>
  <x:si>
    <x:t xml:space="preserve">原文直接披露募集资金47,250,000元</x:t>
  </x:si>
  <x:si>
    <x:t xml:space="preserve">EMPLOYEE_PLAN_RELATION_AVAILABLE</x:t>
  </x:si>
  <x:si>
    <x:t xml:space="preserve">PDF第35—36页/正文第35—36页</x:t>
  </x:si>
  <x:si>
    <x:t xml:space="preserve">统一口径核心指标</x:t>
  </x:si>
  <x:si>
    <x:t xml:space="preserve">指标</x:t>
  </x:si>
  <x:si>
    <x:t xml:space="preserve">统一值</x:t>
  </x:si>
  <x:si>
    <x:t xml:space="preserve">口径说明</x:t>
  </x:si>
  <x:si>
    <x:t xml:space="preserve">公司数</x:t>
  </x:si>
  <x:si>
    <x:t xml:space="preserve">固定样本</x:t>
  </x:si>
  <x:si>
    <x:t xml:space="preserve">直接股权融资轮次</x:t>
  </x:si>
  <x:si>
    <x:t xml:space="preserve">公司融资轮次；不含设立、纯老股转让、资本公积转增、代持解除</x:t>
  </x:si>
  <x:si>
    <x:t xml:space="preserve">原报告直接融资轮次</x:t>
  </x:si>
  <x:si>
    <x:t xml:space="preserve">修订前报告</x:t>
  </x:si>
  <x:si>
    <x:t xml:space="preserve">轮次净变化</x:t>
  </x:si>
  <x:si>
    <x:t xml:space="preserve">仅来自云汉芯城2009年原股东增资</x:t>
  </x:si>
  <x:si>
    <x:t xml:space="preserve">不是完整总额；混合披露值与计算值，均基于招股书输入</x:t>
  </x:si>
  <x:si>
    <x:t xml:space="preserve">可核验股权转让对价下限（万元）</x:t>
  </x:si>
  <x:si>
    <x:t xml:space="preserve">全部排除在公司融资金额之外</x:t>
  </x:si>
  <x:si>
    <x:t xml:space="preserve">公司级唯一直接法律主体记录合计</x:t>
  </x:si>
  <x:si>
    <x:t xml:space="preserve">按公司内去重后求和，未做跨公司主体合并</x:t>
  </x:si>
  <x:si>
    <x:t xml:space="preserve">确认PE/VC法律主体记录合计</x:t>
  </x:si>
  <x:si>
    <x:t xml:space="preserve">云汉12、友升2、三协2</x:t>
  </x:si>
  <x:si>
    <x:t xml:space="preserve">确认PE/VC投资体系总数</x:t>
  </x:si>
  <x:si>
    <x:t xml:space="preserve">不生成；云汉芯城投资体系尚未完成可审计合并</x:t>
  </x:si>
  <x:si>
    <x:t xml:space="preserve">修改ID</x:t>
  </x:si>
  <x:si>
    <x:t xml:space="preserve">报告位置</x:t>
  </x:si>
  <x:si>
    <x:t xml:space="preserve">原结果</x:t>
  </x:si>
  <x:si>
    <x:t xml:space="preserve">修订结果</x:t>
  </x:si>
  <x:si>
    <x:t xml:space="preserve">修改原因</x:t>
  </x:si>
  <x:si>
    <x:t xml:space="preserve">影响等级</x:t>
  </x:si>
  <x:si>
    <x:t xml:space="preserve">状态</x:t>
  </x:si>
  <x:si>
    <x:t xml:space="preserve">CHG-001</x:t>
  </x:si>
  <x:si>
    <x:t xml:space="preserve">摘要</x:t>
  </x:si>
  <x:si>
    <x:t xml:space="preserve">八家公司合计至少17轮；云汉芯城6轮</x:t>
  </x:si>
  <x:si>
    <x:t xml:space="preserve">八家公司合计至少18轮；云汉芯城7轮</x:t>
  </x:si>
  <x:si>
    <x:t xml:space="preserve">2009年12月原股东增资进入发行人，按统一口径计1轮；同期股权转让不另计轮次</x:t>
  </x:si>
  <x:si>
    <x:t xml:space="preserve">MAJOR</x:t>
  </x:si>
  <x:si>
    <x:t xml:space="preserve">CHG-002</x:t>
  </x:si>
  <x:si>
    <x:t xml:space="preserve">研究口径</x:t>
  </x:si>
  <x:si>
    <x:t xml:space="preserve">同月发生事项按一轮直接融资处理</x:t>
  </x:si>
  <x:si>
    <x:t xml:space="preserve">先拆分增资与股权转让交易组成部分，再按同一商业安排归并融资轮次；老股转让不计公司融资金额</x:t>
  </x:si>
  <x:si>
    <x:t xml:space="preserve">避免将法律事件、交易组成部分和融资轮次混淆</x:t>
  </x:si>
  <x:si>
    <x:t xml:space="preserve">CHG-003</x:t>
  </x:si>
  <x:si>
    <x:t xml:space="preserve">公司概览及图1</x:t>
  </x:si>
  <x:si>
    <x:t xml:space="preserve">云汉芯城6轮；合计17轮</x:t>
  </x:si>
  <x:si>
    <x:t xml:space="preserve">云汉芯城7轮；合计18轮</x:t>
  </x:si>
  <x:si>
    <x:t xml:space="preserve">步骤5最终决定</x:t>
  </x:si>
  <x:si>
    <x:t xml:space="preserve">CHG-004</x:t>
  </x:si>
  <x:si>
    <x:t xml:space="preserve">云汉芯城个案</x:t>
  </x:si>
  <x:si>
    <x:t xml:space="preserve">2014—2020年至少6轮</x:t>
  </x:si>
  <x:si>
    <x:t xml:space="preserve">2009—2020年至少7轮；2009年为原股东增资，2014年后为机构化融资阶段</x:t>
  </x:si>
  <x:si>
    <x:t xml:space="preserve">公司融资轮次与机构融资阶段分开</x:t>
  </x:si>
  <x:si>
    <x:t xml:space="preserve">CHG-005</x:t>
  </x:si>
  <x:si>
    <x:t xml:space="preserve">融资金额指标</x:t>
  </x:si>
  <x:si>
    <x:t xml:space="preserve">不对八家公司融资金额简单加总</x:t>
  </x:si>
  <x:si>
    <x:t xml:space="preserve">继续不形成完整总额；新增可核验金额下限173,663.59万元，并明确其非完整总额</x:t>
  </x:si>
  <x:si>
    <x:t xml:space="preserve">统一公司融资金额口径后，可以形成披露下限，但仍存在未披露事项</x:t>
  </x:si>
  <x:si>
    <x:t xml:space="preserve">MEDIUM</x:t>
  </x:si>
  <x:si>
    <x:t xml:space="preserve">CHG-006</x:t>
  </x:si>
  <x:si>
    <x:t xml:space="preserve">老股转让指标</x:t>
  </x:si>
  <x:si>
    <x:t xml:space="preserve">仅按案例说明老股转让</x:t>
  </x:si>
  <x:si>
    <x:t xml:space="preserve">可核验转让对价下限17,480.9080万元，全部排除在公司融资金额之外</x:t>
  </x:si>
  <x:si>
    <x:t xml:space="preserve">统一资金流向规则</x:t>
  </x:si>
  <x:si>
    <x:t xml:space="preserve">CHG-007</x:t>
  </x:si>
  <x:si>
    <x:t xml:space="preserve">友升股份PE/VC</x:t>
  </x:si>
  <x:si>
    <x:t xml:space="preserve">两只金浦基金为确认PE/VC主体</x:t>
  </x:si>
  <x:si>
    <x:t xml:space="preserve">两只基金为2个PE/VC法律主体，由同一管理人管理且系一致行动人，归为1个投资体系</x:t>
  </x:si>
  <x:si>
    <x:t xml:space="preserve">步骤4最终人工复核</x:t>
  </x:si>
  <x:si>
    <x:t xml:space="preserve">CHG-008</x:t>
  </x:si>
  <x:si>
    <x:t xml:space="preserve">三协电机个案</x:t>
  </x:si>
  <x:si>
    <x:t xml:space="preserve">报告列示2轮，但原工程底表不可回溯</x:t>
  </x:si>
  <x:si>
    <x:t xml:space="preserve">补入2022年和2023年两轮定向发行、金额、主体和体系信息</x:t>
  </x:si>
  <x:si>
    <x:t xml:space="preserve">CHG-009</x:t>
  </x:si>
  <x:si>
    <x:t xml:space="preserve">赛分科技2021年4月</x:t>
  </x:si>
  <x:si>
    <x:t xml:space="preserve">增资与同期老股转让并列描述</x:t>
  </x:si>
  <x:si>
    <x:t xml:space="preserve">一个复合历史事件容器下分列一次增资和一次股权转让；融资轮次只计增资1轮</x:t>
  </x:si>
  <x:si>
    <x:t xml:space="preserve">决议、协议和资金流向分别披露</x:t>
  </x:si>
  <x:si>
    <x:t xml:space="preserve">CHG-010</x:t>
  </x:si>
  <x:si>
    <x:t xml:space="preserve">PE/VC横向指标</x:t>
  </x:si>
  <x:si>
    <x:t xml:space="preserve">未形成八家公司统一法律主体数</x:t>
  </x:si>
  <x:si>
    <x:t xml:space="preserve">公司内去重的确认PE/VC法律主体记录合计16个；不生成投资体系总数</x:t>
  </x:si>
  <x:si>
    <x:t xml:space="preserve">法律主体与投资体系必须分开，云汉芯城体系尚不可自动合并</x:t>
  </x:si>
  <x:si>
    <x:t xml:space="preserve">CHG-011</x:t>
  </x:si>
  <x:si>
    <x:t xml:space="preserve">影石创新边界</x:t>
  </x:si>
  <x:si>
    <x:t xml:space="preserve">报告期0轮</x:t>
  </x:si>
  <x:si>
    <x:t xml:space="preserve">当前清晰披露范围0轮，不代表完整历史融资为0</x:t>
  </x:si>
  <x:si>
    <x:t xml:space="preserve">未披露不等于0</x:t>
  </x:si>
  <x:si>
    <x:t xml:space="preserve">MINOR</x:t>
  </x:si>
  <x:si>
    <x:t xml:space="preserve">CHG-012</x:t>
  </x:si>
  <x:si>
    <x:t xml:space="preserve">结论</x:t>
  </x:si>
  <x:si>
    <x:t xml:space="preserve">云汉芯城6轮、样本17轮</x:t>
  </x:si>
  <x:si>
    <x:t xml:space="preserve">云汉芯城7轮、样本至少18轮；总体类型判断保持</x:t>
  </x:si>
  <x:si>
    <x:t xml:space="preserve">公司相对排序和研究结论不变，仅统一轮次和统计层级</x:t>
  </x:si>
  <x:si>
    <x:t xml:space="preserve">融资金额属性</x:t>
  </x:si>
  <x:si>
    <x:t xml:space="preserve">可核验转让金额（万元）</x:t>
  </x:si>
  <x:si>
    <x:t xml:space="preserve">转让金额属性</x:t>
  </x:si>
  <x:si>
    <x:t xml:space="preserve">是否纳入下限求和</x:t>
  </x:si>
  <x:si>
    <x:t xml:space="preserve">限制说明</x:t>
  </x:si>
  <x:si>
    <x:t xml:space="preserve">证据页</x:t>
  </x:si>
  <x:si>
    <x:t xml:space="preserve">YES</x:t>
  </x:si>
  <x:si>
    <x:t xml:space="preserve">4个交易组成部分金额直接披露，另4个融资性增资组成部分总对价未披露；注册资本增加额不等于融资总对价；4项转让对价可用，另2项未披露</x:t>
  </x:si>
  <x:si>
    <x:t xml:space="preserve">计算值：新增注册资本348万元×4.50元/股；清晰披露范围内未作为主要二级转让事件</x:t>
  </x:si>
  <x:si>
    <x:t xml:space="preserve">计算值：514.2857×22.42 + 90.2256×23.55；2021年4月架构调整原文明示零对价</x:t>
  </x:si>
  <x:si>
    <x:t xml:space="preserve">原文披露：11,500万元+37,000万元；清晰披露范围内未作为主要二级转让事件</x:t>
  </x:si>
  <x:si>
    <x:t xml:space="preserve">原文披露：18,500万元+54,000万元+1,500万元；2021年4月四笔老股转让合计3,000万元；另有一笔零对价转让</x:t>
  </x:si>
  <x:si>
    <x:t xml:space="preserve">NO</x:t>
  </x:si>
  <x:si>
    <x:t xml:space="preserve">早期投资者逐轮进入过程未完整披露，不填0；2023年德朴投资向汇智同裕转让存量股权，资金不进入发行人</x:t>
  </x:si>
  <x:si>
    <x:t xml:space="preserve">原文披露：2,374.40万元+1,723.09万元；清晰披露范围内未作为主要二级转让事件</x:t>
  </x:si>
  <x:si>
    <x:t xml:space="preserve">原文直接披露募集资金47,250,000元；清晰披露范围内未作为主要二级转让事件</x:t>
  </x:si>
  <x:si>
    <x:t xml:space="preserve">可核验下限</x:t>
  </x:si>
  <x:si>
    <x:t xml:space="preserve">非完整总额</x:t>
  </x:si>
  <x:si>
    <x:t xml:space="preserve">完整八家公司总额</x:t>
  </x:si>
  <x:si>
    <x:t xml:space="preserve">不得生成；存在未披露事项</x:t>
  </x:si>
  <x:si>
    <x:t xml:space="preserve">复核ID</x:t>
  </x:si>
  <x:si>
    <x:t xml:space="preserve">优先级</x:t>
  </x:si>
  <x:si>
    <x:t xml:space="preserve">需要确认的问题</x:t>
  </x:si>
  <x:si>
    <x:t xml:space="preserve">建议决定</x:t>
  </x:si>
  <x:si>
    <x:t xml:space="preserve">复核重点</x:t>
  </x:si>
  <x:si>
    <x:t xml:space="preserve">用户决定</x:t>
  </x:si>
  <x:si>
    <x:t xml:space="preserve">用户备注</x:t>
  </x:si>
  <x:si>
    <x:t xml:space="preserve">最终状态</x:t>
  </x:si>
  <x:si>
    <x:t xml:space="preserve">S06-RQ-001</x:t>
  </x:si>
  <x:si>
    <x:t xml:space="preserve">CRITICAL</x:t>
  </x:si>
  <x:si>
    <x:t xml:space="preserve">是否确认修订报告全文将云汉芯城统一为7轮、八家公司合计统一为至少18轮？</x:t>
  </x:si>
  <x:si>
    <x:t xml:space="preserve">确认。2009年12月复合事件中增资计1轮，股权转让不另计轮次。</x:t>
  </x:si>
  <x:si>
    <x:t xml:space="preserve">摘要、表1、图1、云汉芯城个案、差异表、结论应完全一致</x:t>
  </x:si>
  <x:si>
    <x:t xml:space="preserve">确认建议决定</x:t>
  </x:si>
  <x:si>
    <x:t xml:space="preserve">S06-RQ-002</x:t>
  </x:si>
  <x:si>
    <x:t xml:space="preserve">HIGH</x:t>
  </x:si>
  <x:si>
    <x:t xml:space="preserve">是否确认使用“可核验金额下限”而不是“八家公司融资总额”？</x:t>
  </x:si>
  <x:si>
    <x:t xml:space="preserve">确认。公司融资金额下限173,663.59万元；老股转让对价下限17,480.9080万元；均不得解释为完整总额。</x:t>
  </x:si>
  <x:si>
    <x:t xml:space="preserve">云汉芯城仍有4个融资组成部分和2项转让对价未披露；影石创新早期轮次未逐轮展开</x:t>
  </x:si>
  <x:si>
    <x:t xml:space="preserve">S06-RQ-003</x:t>
  </x:si>
  <x:si>
    <x:t xml:space="preserve">是否确认PE/VC横向指标按法律主体记录16个，并暂不汇总投资体系总数？</x:t>
  </x:si>
  <x:si>
    <x:t xml:space="preserve">确认。云汉芯城12、友升股份2、三协电机2；法律主体数不等于投资体系数。</x:t>
  </x:si>
  <x:si>
    <x:t xml:space="preserve">友升两只金浦基金为2个主体、1个体系；云汉体系不自动合并</x:t>
  </x:si>
  <x:si>
    <x:t xml:space="preserve">S06-RQ-004</x:t>
  </x:si>
  <x:si>
    <x:t xml:space="preserve">是否确认修订报告对三协电机、友升股份和赛分科技的定点修改表述？</x:t>
  </x:si>
  <x:si>
    <x:t xml:space="preserve">确认步骤4决定已经准确写入报告。</x:t>
  </x:si>
  <x:si>
    <x:t xml:space="preserve">三协两轮定向发行；友升2主体/1体系；赛分增资与老股转让分列</x:t>
  </x:si>
</x:sst>
</file>

<file path=xl/styles.xml><?xml version="1.0" encoding="utf-8"?>
<x:styleSheet xmlns:x="http://schemas.openxmlformats.org/spreadsheetml/2006/main">
  <x:numFmts count="3">
    <x:numFmt numFmtId="176" formatCode="#,##0.00;[Red]\(#,##0.00\);\-"/>
    <x:numFmt numFmtId="177" formatCode="#,##0.0000;[Red]\(#,##0.0000\);\-"/>
    <x:numFmt numFmtId="200" formatCode="#,##0.0000;[Red](#,##0.0000);-"/>
  </x:numFmts>
  <x:fonts count="10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  <x:font>
      <x:b/>
      <x:sz val="15"/>
      <x:color rgb="FFFFFFFF"/>
      <x:name val="Carlito"/>
    </x:font>
    <x:font>
      <x:i/>
      <x:sz val="11"/>
      <x:name val="Carlito"/>
    </x:font>
    <x:font>
      <x:sz val="11"/>
      <x:name val="Carlito"/>
    </x:font>
    <x:font>
      <x:sz val="9"/>
      <x:name val="宋体"/>
    </x:font>
    <x:font>
      <x:b/>
      <x:sz val="11"/>
      <x:color rgb="FF375623"/>
      <x:name val="Carlito"/>
    </x:font>
    <x:font>
      <x:sz val="11"/>
      <x:color rgb="FF375623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  <x:fill>
      <x:patternFill patternType="solid">
        <x:fgColor rgb="FFE7E6E6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</x:fills>
  <x:borders count="2">
    <x:border/>
    <x:border/>
  </x:borders>
  <x:cellStyleXfs count="2">
    <x:xf numFmtId="0" fontId="0" fillId="0" borderId="0"/>
    <x:xf numFmtId="0" fontId="6" fillId="0" borderId="0"/>
  </x:cellStyleXfs>
  <x:cellXfs count="70">
    <x:xf numFmtId="0" fontId="0" fillId="0" borderId="0" xfId="0"/>
    <x:xf numFmtId="0" fontId="2" fillId="3" borderId="0" xfId="1" applyFont="1" applyFill="1" applyAlignment="1">
      <x:alignment horizontal="center" wrapText="1"/>
    </x:xf>
    <x:xf numFmtId="0" fontId="0" fillId="0" borderId="0" xfId="1" applyFont="1" applyAlignment="1">
      <x:alignment wrapText="1"/>
    </x:xf>
    <x:xf numFmtId="176" fontId="0" fillId="0" borderId="0" xfId="1" applyNumberFormat="1" applyFont="1" applyAlignment="1">
      <x:alignment wrapText="1"/>
    </x:xf>
    <x:xf numFmtId="0" fontId="3" fillId="2" borderId="0" xfId="1" applyFont="1" applyFill="1" applyAlignment="1">
      <x:alignment horizontal="center"/>
    </x:xf>
    <x:xf numFmtId="0" fontId="3" fillId="2" borderId="0" xfId="1" applyFont="1" applyFill="1" applyAlignment="1">
      <x:alignment horizontal="center" vertical="center"/>
    </x:xf>
    <x:xf numFmtId="177" fontId="0" fillId="0" borderId="0" xfId="1" applyNumberFormat="1" applyFont="1" applyAlignment="1">
      <x:alignment wrapText="1"/>
    </x:xf>
    <x:xf numFmtId="0" fontId="3" fillId="4" borderId="0" xfId="1" applyFont="1" applyFill="1"/>
    <x:xf numFmtId="0" fontId="3" fillId="4" borderId="0" xfId="1" applyFont="1" applyFill="1" applyAlignment="1">
      <x:alignment horizontal="center"/>
    </x:xf>
    <x:xf numFmtId="0" fontId="3" fillId="4" borderId="0" xfId="1" applyFont="1" applyFill="1" applyAlignment="1">
      <x:alignment horizontal="center" wrapText="1"/>
    </x:xf>
    <x:xf numFmtId="0" fontId="2" fillId="3" borderId="0" xfId="1" applyFont="1" applyFill="1" applyAlignment="1">
      <x:alignment wrapText="1"/>
    </x:xf>
    <x:xf numFmtId="176" fontId="2" fillId="3" borderId="0" xfId="1" applyNumberFormat="1" applyFont="1" applyFill="1" applyAlignment="1">
      <x:alignment wrapText="1"/>
    </x:xf>
    <x:xf numFmtId="177" fontId="2" fillId="3" borderId="0" xfId="1" applyNumberFormat="1" applyFont="1" applyFill="1" applyAlignment="1">
      <x:alignment wrapText="1"/>
    </x:xf>
    <x:xf numFmtId="0" fontId="5" fillId="5" borderId="0" xfId="1" applyFont="1" applyFill="1" applyAlignment="1">
      <x:alignment wrapText="1"/>
    </x:xf>
    <x:xf numFmtId="176" fontId="5" fillId="5" borderId="0" xfId="1" applyNumberFormat="1" applyFont="1" applyFill="1" applyAlignment="1">
      <x:alignment wrapText="1"/>
    </x:xf>
    <x:xf numFmtId="177" fontId="5" fillId="5" borderId="0" xfId="1" applyNumberFormat="1" applyFont="1" applyFill="1" applyAlignment="1">
      <x:alignment wrapText="1"/>
    </x:xf>
    <x:xf numFmtId="0" fontId="0" fillId="6" borderId="0" xfId="1" applyFont="1" applyFill="1" applyAlignment="1">
      <x:alignment wrapText="1"/>
    </x:xf>
    <x:xf numFmtId="0" fontId="1" fillId="2" borderId="0" xfId="1" applyFont="1" applyFill="1" applyAlignment="1">
      <x:alignment horizontal="center" vertical="center"/>
    </x:xf>
    <x:xf numFmtId="0" fontId="4" fillId="2" borderId="0" xfId="1" applyFont="1" applyFill="1" applyAlignment="1">
      <x:alignment horizontal="center"/>
    </x:xf>
    <x:xf numFmtId="0" fontId="0" fillId="0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wrapText="1"/>
    </x:xf>
    <x:xf numFmtId="176" fontId="0" fillId="0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177" fontId="0" fillId="0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wrapText="1"/>
    </x:xf>
    <x:xf numFmtId="176" fontId="2" fillId="3" borderId="1" xfId="0" applyNumberFormat="1" applyFont="1" applyFill="1" applyBorder="1" applyAlignment="1">
      <x:alignment wrapText="1"/>
    </x:xf>
    <x:xf numFmtId="177" fontId="2" fillId="3" borderId="1" xfId="0" applyNumberFormat="1" applyFont="1" applyFill="1" applyBorder="1" applyAlignment="1">
      <x:alignment wrapText="1"/>
    </x:xf>
    <x:xf numFmtId="0" fontId="5" fillId="5" borderId="1" xfId="0" applyNumberFormat="1" applyFont="1" applyFill="1" applyBorder="1" applyAlignment="1">
      <x:alignment wrapText="1"/>
    </x:xf>
    <x:xf numFmtId="176" fontId="5" fillId="5" borderId="1" xfId="0" applyNumberFormat="1" applyFont="1" applyFill="1" applyBorder="1" applyAlignment="1">
      <x:alignment wrapText="1"/>
    </x:xf>
    <x:xf numFmtId="177" fontId="5" fillId="5" borderId="1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/>
    </x:xf>
    <x:xf numFmtId="0" fontId="4" fillId="2" borderId="1" xfId="0" applyNumberFormat="1" applyFont="1" applyFill="1" applyBorder="1" applyAlignment="1">
      <x:alignment horizontal="center"/>
    </x:xf>
    <x:xf numFmtId="0" fontId="0" fillId="7" borderId="0" xfId="0" applyNumberFormat="1" applyFont="1" applyFill="1" applyBorder="1" applyAlignment="1">
      <x:alignment wrapText="1"/>
    </x:xf>
    <x:xf numFmtId="0" fontId="0" fillId="7" borderId="1" xfId="0" applyNumberFormat="1" applyFont="1" applyFill="1" applyBorder="1" applyAlignment="1">
      <x:alignment wrapText="1"/>
    </x:xf>
    <x:xf numFmtId="0" fontId="8" fillId="7" borderId="0" xfId="0" applyNumberFormat="1" applyFont="1" applyFill="1" applyBorder="1" applyAlignment="1">
      <x:alignment wrapText="1"/>
    </x:xf>
    <x:xf numFmtId="0" fontId="8" fillId="7" borderId="1" xfId="0" applyNumberFormat="1" applyFont="1" applyFill="1" applyBorder="1" applyAlignment="1">
      <x:alignment wrapText="1"/>
    </x:xf>
    <x:xf numFmtId="0" fontId="9" fillId="7" borderId="0" xfId="0" applyNumberFormat="1" applyFont="1" applyFill="1" applyBorder="1" applyAlignment="1">
      <x:alignment wrapText="1"/>
    </x:xf>
    <x:xf numFmtId="0" fontId="9" fillId="7" borderId="1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1" fillId="8" borderId="0" xfId="0" applyNumberFormat="1" applyFont="1" applyFill="1" applyBorder="1"/>
    <x:xf numFmtId="0" fontId="1" fillId="8" borderId="0" xfId="0" applyNumberFormat="1" applyFont="1" applyFill="1" applyBorder="1" applyAlignment="1">
      <x:alignment horizontal="center"/>
    </x:xf>
    <x:xf numFmtId="0" fontId="1" fillId="8" borderId="0" xfId="0" applyNumberFormat="1" applyFont="1" applyFill="1" applyBorder="1" applyAlignment="1">
      <x:alignment horizontal="center" vertical="center"/>
    </x:xf>
    <x:xf numFmtId="0" fontId="0" fillId="8" borderId="1" xfId="0" applyNumberFormat="1" applyFont="1" applyFill="1" applyBorder="1"/>
    <x:xf numFmtId="0" fontId="1" fillId="8" borderId="1" xfId="0" applyNumberFormat="1" applyFont="1" applyFill="1" applyBorder="1"/>
    <x:xf numFmtId="0" fontId="1" fillId="8" borderId="1" xfId="0" applyNumberFormat="1" applyFont="1" applyFill="1" applyBorder="1" applyAlignment="1">
      <x:alignment horizontal="center"/>
    </x:xf>
    <x:xf numFmtId="0" fontId="1" fillId="8" borderId="1" xfId="0" applyNumberFormat="1" applyFont="1" applyFill="1" applyBorder="1" applyAlignment="1">
      <x:alignment horizontal="center" vertical="center"/>
    </x:xf>
    <x:xf numFmtId="0" fontId="0" fillId="9" borderId="0" xfId="0" applyNumberFormat="1" applyFont="1" applyFill="1" applyBorder="1"/>
    <x:xf numFmtId="0" fontId="2" fillId="9" borderId="0" xfId="0" applyNumberFormat="1" applyFont="1" applyFill="1" applyBorder="1"/>
    <x:xf numFmtId="0" fontId="2" fillId="9" borderId="0" xfId="0" applyNumberFormat="1" applyFont="1" applyFill="1" applyBorder="1" applyAlignment="1">
      <x:alignment horizontal="center"/>
    </x:xf>
    <x:xf numFmtId="0" fontId="0" fillId="9" borderId="1" xfId="0" applyNumberFormat="1" applyFont="1" applyFill="1" applyBorder="1"/>
    <x:xf numFmtId="0" fontId="2" fillId="9" borderId="1" xfId="0" applyNumberFormat="1" applyFont="1" applyFill="1" applyBorder="1"/>
    <x:xf numFmtId="0" fontId="2" fillId="9" borderId="1" xfId="0" applyNumberFormat="1" applyFont="1" applyFill="1" applyBorder="1" applyAlignment="1">
      <x:alignment horizontal="center"/>
    </x:xf>
    <x:xf numFmtId="0" fontId="2" fillId="9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9" borderId="1" xfId="0" applyNumberFormat="1" applyFont="1" applyFill="1" applyBorder="1" applyAlignment="1">
      <x:alignment horizontal="center"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10" borderId="0" xfId="0" applyNumberFormat="1" applyFont="1" applyFill="1" applyBorder="1"/>
    <x:xf numFmtId="0" fontId="3" fillId="10" borderId="0" xfId="0" applyNumberFormat="1" applyFont="1" applyFill="1" applyBorder="1"/>
    <x:xf numFmtId="0" fontId="3" fillId="10" borderId="0" xfId="0" applyNumberFormat="1" applyFont="1" applyFill="1" applyBorder="1" applyAlignment="1">
      <x:alignment horizontal="center"/>
    </x:xf>
    <x:xf numFmtId="0" fontId="0" fillId="10" borderId="1" xfId="0" applyNumberFormat="1" applyFont="1" applyFill="1" applyBorder="1"/>
    <x:xf numFmtId="0" fontId="3" fillId="10" borderId="1" xfId="0" applyNumberFormat="1" applyFont="1" applyFill="1" applyBorder="1"/>
    <x:xf numFmtId="0" fontId="3" fillId="10" borderId="1" xfId="0" applyNumberFormat="1" applyFont="1" applyFill="1" applyBorder="1" applyAlignment="1">
      <x:alignment horizontal="center"/>
    </x:xf>
    <x:xf numFmtId="0" fontId="3" fillId="10" borderId="0" xfId="0" applyNumberFormat="1" applyFont="1" applyFill="1" applyBorder="1" applyAlignment="1">
      <x:alignment horizontal="center" wrapText="1"/>
    </x:xf>
  </x:cellXfs>
  <x:cellStyles count="2">
    <x:cellStyle name="Normal" xfId="1"/>
    <x:cellStyle name="常规" xfId="0"/>
  </x:cellStyles>
  <x:dxfs count="4">
    <x:dxf>
      <x:fill>
        <x:patternFill>
          <x:bgColor rgb="FFFFF2CC"/>
        </x:patternFill>
      </x:fill>
    </x:dxf>
    <x:dxf>
      <x:font>
        <x:b/>
      </x:font>
      <x:fill>
        <x:patternFill>
          <x:bgColor rgb="FFFCE4D6"/>
        </x:patternFill>
      </x:fill>
    </x:dxf>
    <x:dxf>
      <x:fill>
        <x:patternFill>
          <x:bgColor rgb="FFE7E6E6"/>
        </x:patternFill>
      </x:fill>
    </x:dxf>
    <x:dxf>
      <x:fill>
        <x:patternFill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57697c6020246f7" /><Relationship Type="http://schemas.openxmlformats.org/officeDocument/2006/relationships/theme" Target="/xl/theme/theme1.xml" Id="Rbc62458e8b1643e4" /><Relationship Type="http://schemas.openxmlformats.org/officeDocument/2006/relationships/sharedStrings" Target="/xl/sharedStrings.xml" Id="Rb91f95b72e3e42a4" /><Relationship Type="http://schemas.openxmlformats.org/officeDocument/2006/relationships/worksheet" Target="/xl/worksheets/sheet1.xml" Id="R721484cfa9c04812" /><Relationship Type="http://schemas.openxmlformats.org/officeDocument/2006/relationships/worksheet" Target="/xl/worksheets/sheet2.xml" Id="R8ff07d936ef34175" /><Relationship Type="http://schemas.openxmlformats.org/officeDocument/2006/relationships/worksheet" Target="/xl/worksheets/sheet3.xml" Id="R4117d580924940fd" /><Relationship Type="http://schemas.openxmlformats.org/officeDocument/2006/relationships/worksheet" Target="/xl/worksheets/sheet4.xml" Id="Ra19d7463dfb44ccf" /><Relationship Type="http://schemas.openxmlformats.org/officeDocument/2006/relationships/worksheet" Target="/xl/worksheets/sheet5.xml" Id="R572cff93c2804bb2" /><Relationship Type="http://schemas.openxmlformats.org/officeDocument/2006/relationships/worksheet" Target="/xl/worksheets/sheet6.xml" Id="Rdbaf863bd4464214" /><Relationship Type="http://schemas.openxmlformats.org/officeDocument/2006/relationships/worksheet" Target="/xl/worksheets/sheet7.xml" Id="R2f7e169969b3451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f86cb621d05d4df7" /></Relationships>
</file>

<file path=xl/drawings/charts/chart1.xml><?xml version="1.0" encoding="utf-8"?>
<c:chartSpace xmlns:c="http://schemas.openxmlformats.org/drawingml/2006/chart">
  <c:lang val="en-US"/>
  <c:roundedCorners val="0"/>
  <c:style val="2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八家公司直接股权融资轮次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融资轮次</c:v>
          </c:tx>
          <c:cat>
            <c:strRef>
              <c:f>'02_核心指标重算'!$E$4:$E$11</c:f>
              <c:strCache>
                <c:ptCount val="8"/>
                <c:pt idx="0">
                  <c:v>云汉芯城</c:v>
                </c:pt>
                <c:pt idx="1">
                  <c:v>三联锻造</c:v>
                </c:pt>
                <c:pt idx="2">
                  <c:v>黄山谷捷</c:v>
                </c:pt>
                <c:pt idx="3">
                  <c:v>友升股份</c:v>
                </c:pt>
                <c:pt idx="4">
                  <c:v>赛分科技</c:v>
                </c:pt>
                <c:pt idx="5">
                  <c:v>影石创新</c:v>
                </c:pt>
                <c:pt idx="6">
                  <c:v>三协电机</c:v>
                </c:pt>
                <c:pt idx="7">
                  <c:v>星图测控</c:v>
                </c:pt>
              </c:strCache>
            </c:strRef>
          </c:cat>
          <c:val>
            <c:numRef>
              <c:f>'02_核心指标重算'!$F$4:$F$11</c:f>
              <c:numCache>
                <c:formatCode>General</c:formatCode>
                <c:ptCount val="8"/>
                <c:pt idx="0">
                  <c:v>7</c:v>
                </c:pt>
                <c:pt idx="1">
                  <c:v>1</c:v>
                </c:pt>
                <c:pt idx="2">
                  <c:v>2</c:v>
                </c:pt>
                <c:pt idx="3">
                  <c:v>2</c:v>
                </c:pt>
                <c:pt idx="4">
                  <c:v>3</c:v>
                </c:pt>
                <c:pt idx="5">
                  <c:v>0</c:v>
                </c:pt>
                <c:pt idx="6">
                  <c:v>2</c:v>
                </c:pt>
                <c:pt idx="7">
                  <c:v>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12</xdr:row>
      <xdr:rowOff>0</xdr:rowOff>
    </xdr:from>
    <xdr:to>
      <xdr:col>13</xdr:col>
      <xdr:colOff>0</xdr:colOff>
      <xdr:row>31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86cb621d05d4df7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Stage06CompanyMetricsTable" displayName="Stage06CompanyMetricsTable" ref="A1:P9">
  <x:tableColumns count="16">
    <x:tableColumn id="1" name="公司代码"/>
    <x:tableColumn id="2" name="公司"/>
    <x:tableColumn id="3" name="融资轮次"/>
    <x:tableColumn id="4" name="轮次说明"/>
    <x:tableColumn id="5" name="可核验公司融资金额（万元）"/>
    <x:tableColumn id="6" name="融资金额状态"/>
    <x:tableColumn id="7" name="融资金额说明"/>
    <x:tableColumn id="8" name="可核验股权转让金额（万元）"/>
    <x:tableColumn id="9" name="转让金额状态"/>
    <x:tableColumn id="10" name="转让金额说明"/>
    <x:tableColumn id="11" name="公司内去重直接法律主体数"/>
    <x:tableColumn id="12" name="确认PE/VC法律主体数"/>
    <x:tableColumn id="13" name="投资体系状态"/>
    <x:tableColumn id="14" name="混合融资轮次组"/>
    <x:tableColumn id="15" name="披露限制"/>
    <x:tableColumn id="16" name="主要证据页"/>
  </x:tableColumns>
  <x:tableStyleInfo name="TableStyleMedium2" showRowStripes="1"/>
</x:table>
</file>

<file path=xl/tables/table2.xml><?xml version="1.0" encoding="utf-8"?>
<x:table xmlns:x="http://schemas.openxmlformats.org/spreadsheetml/2006/main" id="2" name="Stage06ChangeLogTable" displayName="Stage06ChangeLogTable" ref="A1:G13">
  <x:tableColumns count="7">
    <x:tableColumn id="1" name="修改ID"/>
    <x:tableColumn id="2" name="报告位置"/>
    <x:tableColumn id="3" name="原结果"/>
    <x:tableColumn id="4" name="修订结果"/>
    <x:tableColumn id="5" name="修改原因"/>
    <x:tableColumn id="6" name="影响等级"/>
    <x:tableColumn id="7" name="状态"/>
  </x:tableColumns>
  <x:tableStyleInfo name="TableStyleMedium2" showRowStripes="1"/>
</x:table>
</file>

<file path=xl/tables/table3.xml><?xml version="1.0" encoding="utf-8"?>
<x:table xmlns:x="http://schemas.openxmlformats.org/spreadsheetml/2006/main" id="3" name="Stage06ReviewTable" displayName="Stage06ReviewTable" ref="A1:H5">
  <x:tableColumns count="8">
    <x:tableColumn id="1" name="复核ID"/>
    <x:tableColumn id="2" name="优先级"/>
    <x:tableColumn id="3" name="需要确认的问题"/>
    <x:tableColumn id="4" name="建议决定"/>
    <x:tableColumn id="5" name="复核重点"/>
    <x:tableColumn id="6" name="用户决定"/>
    <x:tableColumn id="7" name="用户备注"/>
    <x:tableColumn id="8" name="最终状态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b80b4ed66d6474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81f7b42cb557443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49e0713f66224cc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3.xml" Id="R1c175182c22b463e" /></Relationships>
</file>

<file path=xl/worksheets/sheet1.xml><?xml version="1.0" encoding="utf-8"?>
<x:worksheet xmlns:x="http://schemas.openxmlformats.org/spreadsheetml/2006/main">
  <x:sheetFormatPr defaultRowHeight="14"/>
  <x:cols>
    <x:col min="1" max="1" width="33" customWidth="1"/>
    <x:col min="2" max="2" width="86" customWidth="1"/>
  </x:cols>
  <x:sheetData>
    <x:row r="1" ht="20">
      <x:c r="A1" s="17" t="s">
        <x:v>0</x:v>
      </x:c>
      <x:c r="B1" s="17"/>
      <x:c r="C1" s="17"/>
      <x:c r="D1" s="17"/>
      <x:c r="E1" s="17"/>
      <x:c r="F1" s="17"/>
      <x:c r="G1" s="17"/>
      <x:c r="H1" s="17"/>
    </x:row>
    <x:row r="3">
      <x:c r="A3" s="1" t="s">
        <x:v>1</x:v>
      </x:c>
      <x:c r="B3" s="1" t="s">
        <x:v>2</x:v>
      </x:c>
    </x:row>
    <x:row r="4">
      <x:c r="A4" s="2" t="s">
        <x:v>3</x:v>
      </x:c>
      <x:c r="B4" s="2" t="str">
        <x:v>FINAL_APPROVED</x:v>
      </x:c>
    </x:row>
    <x:row r="5">
      <x:c r="A5" s="2" t="s">
        <x:v>4</x:v>
      </x:c>
      <x:c r="B5" s="2" t="s">
        <x:v>5</x:v>
      </x:c>
    </x:row>
    <x:row r="6">
      <x:c r="A6" s="2" t="s">
        <x:v>6</x:v>
      </x:c>
      <x:c r="B6" s="2" t="s">
        <x:v>7</x:v>
      </x:c>
    </x:row>
    <x:row r="7">
      <x:c r="A7" s="2" t="s">
        <x:v>8</x:v>
      </x:c>
      <x:c r="B7" s="2" t="s">
        <x:v>9</x:v>
      </x:c>
    </x:row>
    <x:row r="8">
      <x:c r="A8" s="2" t="s">
        <x:v>10</x:v>
      </x:c>
      <x:c r="B8" s="2">
        <x:v>8</x:v>
      </x:c>
    </x:row>
    <x:row r="9">
      <x:c r="A9" s="2" t="s">
        <x:v>11</x:v>
      </x:c>
      <x:c r="B9" s="2">
        <x:v>18</x:v>
      </x:c>
    </x:row>
    <x:row r="10">
      <x:c r="A10" s="2" t="s">
        <x:v>12</x:v>
      </x:c>
      <x:c r="B10" s="3">
        <x:v>173663.59</x:v>
      </x:c>
    </x:row>
    <x:row r="11">
      <x:c r="A11" s="2" t="s">
        <x:v>13</x:v>
      </x:c>
      <x:c r="B11" s="3">
        <x:v>17480.907999999999</x:v>
      </x:c>
    </x:row>
    <x:row r="12">
      <x:c r="A12" s="2" t="s">
        <x:v>14</x:v>
      </x:c>
      <x:c r="B12" s="2">
        <x:v>16</x:v>
      </x:c>
    </x:row>
    <x:row r="13">
      <x:c r="A13" s="2" t="s">
        <x:v>15</x:v>
      </x:c>
      <x:c r="B13" s="2" t="s">
        <x:v>16</x:v>
      </x:c>
    </x:row>
    <x:row r="14">
      <x:c r="A14" s="2" t="s">
        <x:v>17</x:v>
      </x:c>
      <x:c r="B14" s="2" t="str">
        <x:v>0</x:v>
      </x:c>
    </x:row>
    <x:row r="15">
      <x:c r="A15" s="2" t="s">
        <x:v>18</x:v>
      </x:c>
      <x:c r="B15" s="2" t="str">
        <x:v>步骤6已验收；下一步进入步骤7最终版本、提交结构与归档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4"/>
  <x:cols>
    <x:col min="1" max="3" width="12" customWidth="1"/>
    <x:col min="4" max="4" width="42" customWidth="1"/>
    <x:col min="5" max="5" width="21" customWidth="1"/>
    <x:col min="6" max="6" width="25" customWidth="1"/>
    <x:col min="7" max="7" width="55" customWidth="1"/>
    <x:col min="8" max="8" width="22" customWidth="1"/>
    <x:col min="9" max="9" width="28" customWidth="1"/>
    <x:col min="10" max="10" width="48" customWidth="1"/>
    <x:col min="11" max="12" width="18" customWidth="1"/>
    <x:col min="13" max="13" width="48" customWidth="1"/>
    <x:col min="14" max="14" width="16" customWidth="1"/>
    <x:col min="15" max="16" width="38" customWidth="1"/>
  </x:cols>
  <x:sheetData>
    <x:row r="1">
      <x:c r="A1" s="5" t="s">
        <x:v>19</x:v>
      </x:c>
      <x:c r="B1" s="5" t="s">
        <x:v>20</x:v>
      </x:c>
      <x:c r="C1" s="5" t="s">
        <x:v>21</x:v>
      </x:c>
      <x:c r="D1" s="5" t="s">
        <x:v>22</x:v>
      </x:c>
      <x:c r="E1" s="5" t="s">
        <x:v>23</x:v>
      </x:c>
      <x:c r="F1" s="5" t="s">
        <x:v>24</x:v>
      </x:c>
      <x:c r="G1" s="5" t="s">
        <x:v>25</x:v>
      </x:c>
      <x:c r="H1" s="5" t="s">
        <x:v>26</x:v>
      </x:c>
      <x:c r="I1" s="5" t="s">
        <x:v>27</x:v>
      </x:c>
      <x:c r="J1" s="5" t="s">
        <x:v>28</x:v>
      </x:c>
      <x:c r="K1" s="5" t="s">
        <x:v>29</x:v>
      </x:c>
      <x:c r="L1" s="5" t="s">
        <x:v>30</x:v>
      </x:c>
      <x:c r="M1" s="5" t="s">
        <x:v>31</x:v>
      </x:c>
      <x:c r="N1" s="5" t="s">
        <x:v>32</x:v>
      </x:c>
      <x:c r="O1" s="5" t="s">
        <x:v>33</x:v>
      </x:c>
      <x:c r="P1" s="5" t="s">
        <x:v>34</x:v>
      </x:c>
    </x:row>
    <x:row r="2" ht="28">
      <x:c r="A2" s="2" t="s">
        <x:v>35</x:v>
      </x:c>
      <x:c r="B2" s="2" t="s">
        <x:v>36</x:v>
      </x:c>
      <x:c r="C2" s="2">
        <x:v>7</x:v>
      </x:c>
      <x:c r="D2" s="2" t="s">
        <x:v>37</x:v>
      </x:c>
      <x:c r="E2" s="3">
        <x:v>27120</x:v>
      </x:c>
      <x:c r="F2" s="2" t="s">
        <x:v>38</x:v>
      </x:c>
      <x:c r="G2" s="2" t="s">
        <x:v>39</x:v>
      </x:c>
      <x:c r="H2" s="6">
        <x:v>13018.195400000001</x:v>
      </x:c>
      <x:c r="I2" s="2" t="s">
        <x:v>38</x:v>
      </x:c>
      <x:c r="J2" s="2" t="s">
        <x:v>40</x:v>
      </x:c>
      <x:c r="K2" s="2">
        <x:v>35</x:v>
      </x:c>
      <x:c r="L2" s="2">
        <x:v>12</x:v>
      </x:c>
      <x:c r="M2" s="2" t="s">
        <x:v>41</x:v>
      </x:c>
      <x:c r="N2" s="2">
        <x:v>3</x:v>
      </x:c>
      <x:c r="O2" s="2" t="s">
        <x:v>42</x:v>
      </x:c>
      <x:c r="P2" s="2" t="s">
        <x:v>43</x:v>
      </x:c>
    </x:row>
    <x:row r="3" ht="28">
      <x:c r="A3" s="2" t="s">
        <x:v>44</x:v>
      </x:c>
      <x:c r="B3" s="2" t="s">
        <x:v>45</x:v>
      </x:c>
      <x:c r="C3" s="2">
        <x:v>1</x:v>
      </x:c>
      <x:c r="D3" s="2" t="s">
        <x:v>46</x:v>
      </x:c>
      <x:c r="E3" s="3">
        <x:v>1566</x:v>
      </x:c>
      <x:c r="F3" s="2" t="s">
        <x:v>47</x:v>
      </x:c>
      <x:c r="G3" s="2" t="s">
        <x:v>48</x:v>
      </x:c>
      <x:c r="H3" s="6"/>
      <x:c r="I3" s="2" t="s">
        <x:v>49</x:v>
      </x:c>
      <x:c r="J3" s="2" t="s">
        <x:v>50</x:v>
      </x:c>
      <x:c r="K3" s="2">
        <x:v>1</x:v>
      </x:c>
      <x:c r="L3" s="2">
        <x:v>0</x:v>
      </x:c>
      <x:c r="M3" s="2" t="s">
        <x:v>51</x:v>
      </x:c>
      <x:c r="N3" s="2">
        <x:v>0</x:v>
      </x:c>
      <x:c r="O3" s="2" t="s">
        <x:v>52</x:v>
      </x:c>
      <x:c r="P3" s="2" t="s">
        <x:v>53</x:v>
      </x:c>
    </x:row>
    <x:row r="4">
      <x:c r="A4" s="2" t="s">
        <x:v>54</x:v>
      </x:c>
      <x:c r="B4" s="2" t="s">
        <x:v>55</x:v>
      </x:c>
      <x:c r="C4" s="2">
        <x:v>2</x:v>
      </x:c>
      <x:c r="D4" s="2" t="s">
        <x:v>56</x:v>
      </x:c>
      <x:c r="E4" s="3">
        <x:v>13655.098274</x:v>
      </x:c>
      <x:c r="F4" s="2" t="s">
        <x:v>47</x:v>
      </x:c>
      <x:c r="G4" s="2" t="s">
        <x:v>57</x:v>
      </x:c>
      <x:c r="H4" s="6">
        <x:v>0</x:v>
      </x:c>
      <x:c r="I4" s="2" t="s">
        <x:v>58</x:v>
      </x:c>
      <x:c r="J4" s="2" t="s">
        <x:v>59</x:v>
      </x:c>
      <x:c r="K4" s="2">
        <x:v>6</x:v>
      </x:c>
      <x:c r="L4" s="2">
        <x:v>0</x:v>
      </x:c>
      <x:c r="M4" s="2" t="s">
        <x:v>60</x:v>
      </x:c>
      <x:c r="N4" s="2">
        <x:v>0</x:v>
      </x:c>
      <x:c r="O4" s="2"/>
      <x:c r="P4" s="2" t="s">
        <x:v>61</x:v>
      </x:c>
    </x:row>
    <x:row r="5" ht="28">
      <x:c r="A5" s="2" t="s">
        <x:v>62</x:v>
      </x:c>
      <x:c r="B5" s="2" t="s">
        <x:v>63</x:v>
      </x:c>
      <x:c r="C5" s="2">
        <x:v>2</x:v>
      </x:c>
      <x:c r="D5" s="2" t="s">
        <x:v>64</x:v>
      </x:c>
      <x:c r="E5" s="3">
        <x:v>48500</x:v>
      </x:c>
      <x:c r="F5" s="2" t="s">
        <x:v>65</x:v>
      </x:c>
      <x:c r="G5" s="2" t="s">
        <x:v>66</x:v>
      </x:c>
      <x:c r="H5" s="6"/>
      <x:c r="I5" s="2" t="s">
        <x:v>49</x:v>
      </x:c>
      <x:c r="J5" s="2" t="s">
        <x:v>50</x:v>
      </x:c>
      <x:c r="K5" s="2">
        <x:v>13</x:v>
      </x:c>
      <x:c r="L5" s="2">
        <x:v>2</x:v>
      </x:c>
      <x:c r="M5" s="2" t="s">
        <x:v>67</x:v>
      </x:c>
      <x:c r="N5" s="2">
        <x:v>0</x:v>
      </x:c>
      <x:c r="O5" s="2"/>
      <x:c r="P5" s="2" t="s">
        <x:v>68</x:v>
      </x:c>
    </x:row>
    <x:row r="6" ht="42">
      <x:c r="A6" s="2" t="s">
        <x:v>69</x:v>
      </x:c>
      <x:c r="B6" s="2" t="s">
        <x:v>70</x:v>
      </x:c>
      <x:c r="C6" s="2">
        <x:v>3</x:v>
      </x:c>
      <x:c r="D6" s="2" t="s">
        <x:v>71</x:v>
      </x:c>
      <x:c r="E6" s="3">
        <x:v>74000</x:v>
      </x:c>
      <x:c r="F6" s="2" t="s">
        <x:v>65</x:v>
      </x:c>
      <x:c r="G6" s="2" t="s">
        <x:v>72</x:v>
      </x:c>
      <x:c r="H6" s="6">
        <x:v>3000</x:v>
      </x:c>
      <x:c r="I6" s="2" t="s">
        <x:v>73</x:v>
      </x:c>
      <x:c r="J6" s="2" t="s">
        <x:v>74</x:v>
      </x:c>
      <x:c r="K6" s="2">
        <x:v>17</x:v>
      </x:c>
      <x:c r="L6" s="2">
        <x:v>0</x:v>
      </x:c>
      <x:c r="M6" s="2" t="s">
        <x:v>75</x:v>
      </x:c>
      <x:c r="N6" s="2">
        <x:v>1</x:v>
      </x:c>
      <x:c r="O6" s="2"/>
      <x:c r="P6" s="2" t="s">
        <x:v>76</x:v>
      </x:c>
    </x:row>
    <x:row r="7" ht="28">
      <x:c r="A7" s="2" t="s">
        <x:v>77</x:v>
      </x:c>
      <x:c r="B7" s="2" t="s">
        <x:v>78</x:v>
      </x:c>
      <x:c r="C7" s="2">
        <x:v>0</x:v>
      </x:c>
      <x:c r="D7" s="2" t="s">
        <x:v>79</x:v>
      </x:c>
      <x:c r="E7" s="3"/>
      <x:c r="F7" s="2" t="s">
        <x:v>80</x:v>
      </x:c>
      <x:c r="G7" s="2" t="s">
        <x:v>81</x:v>
      </x:c>
      <x:c r="H7" s="6">
        <x:v>1462.7126000000001</x:v>
      </x:c>
      <x:c r="I7" s="2" t="s">
        <x:v>82</x:v>
      </x:c>
      <x:c r="J7" s="2" t="s">
        <x:v>83</x:v>
      </x:c>
      <x:c r="K7" s="2">
        <x:v>1</x:v>
      </x:c>
      <x:c r="L7" s="2">
        <x:v>0</x:v>
      </x:c>
      <x:c r="M7" s="2" t="s">
        <x:v>84</x:v>
      </x:c>
      <x:c r="N7" s="2">
        <x:v>0</x:v>
      </x:c>
      <x:c r="O7" s="2" t="s">
        <x:v>85</x:v>
      </x:c>
      <x:c r="P7" s="2" t="s">
        <x:v>86</x:v>
      </x:c>
    </x:row>
    <x:row r="8" ht="28">
      <x:c r="A8" s="2" t="s">
        <x:v>87</x:v>
      </x:c>
      <x:c r="B8" s="2" t="s">
        <x:v>88</x:v>
      </x:c>
      <x:c r="C8" s="2">
        <x:v>2</x:v>
      </x:c>
      <x:c r="D8" s="2" t="s">
        <x:v>89</x:v>
      </x:c>
      <x:c r="E8" s="3">
        <x:v>4097.49</x:v>
      </x:c>
      <x:c r="F8" s="2" t="s">
        <x:v>65</x:v>
      </x:c>
      <x:c r="G8" s="2" t="s">
        <x:v>90</x:v>
      </x:c>
      <x:c r="H8" s="6"/>
      <x:c r="I8" s="2" t="s">
        <x:v>49</x:v>
      </x:c>
      <x:c r="J8" s="2" t="s">
        <x:v>50</x:v>
      </x:c>
      <x:c r="K8" s="2">
        <x:v>17</x:v>
      </x:c>
      <x:c r="L8" s="2">
        <x:v>2</x:v>
      </x:c>
      <x:c r="M8" s="2" t="s">
        <x:v>91</x:v>
      </x:c>
      <x:c r="N8" s="2">
        <x:v>0</x:v>
      </x:c>
      <x:c r="O8" s="2"/>
      <x:c r="P8" s="2" t="s">
        <x:v>92</x:v>
      </x:c>
    </x:row>
    <x:row r="9">
      <x:c r="A9" s="2" t="s">
        <x:v>93</x:v>
      </x:c>
      <x:c r="B9" s="2" t="s">
        <x:v>94</x:v>
      </x:c>
      <x:c r="C9" s="2">
        <x:v>1</x:v>
      </x:c>
      <x:c r="D9" s="2" t="s">
        <x:v>95</x:v>
      </x:c>
      <x:c r="E9" s="3">
        <x:v>4725</x:v>
      </x:c>
      <x:c r="F9" s="2" t="s">
        <x:v>65</x:v>
      </x:c>
      <x:c r="G9" s="2" t="s">
        <x:v>96</x:v>
      </x:c>
      <x:c r="H9" s="6"/>
      <x:c r="I9" s="2" t="s">
        <x:v>49</x:v>
      </x:c>
      <x:c r="J9" s="2" t="s">
        <x:v>50</x:v>
      </x:c>
      <x:c r="K9" s="2">
        <x:v>3</x:v>
      </x:c>
      <x:c r="L9" s="2">
        <x:v>0</x:v>
      </x:c>
      <x:c r="M9" s="2" t="s">
        <x:v>97</x:v>
      </x:c>
      <x:c r="N9" s="2">
        <x:v>0</x:v>
      </x:c>
      <x:c r="O9" s="2"/>
      <x:c r="P9" s="2" t="s">
        <x:v>98</x:v>
      </x:c>
    </x:row>
  </x:sheetData>
  <x:conditionalFormatting sqref="C2:C9">
    <x:cfRule type="dataBar" priority="1">
      <x:dataBar>
        <x:cfvo type="min"/>
        <x:cfvo type="max"/>
        <x:color rgb="FFA02B93"/>
      </x:dataBar>
    </x:cfRule>
    <x:cfRule type="dataBar" priority="4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{A1BEB970-48C5-BD0C-7967-7FA0A8224340}</x14:id>
        </x:ext>
      </x:extLst>
    </x:cfRule>
  </x:conditionalFormatting>
  <x:conditionalFormatting sqref="F2:F9">
    <x:cfRule type="expression" dxfId="3" priority="2">
      <x:formula>ISNUMBER(SEARCH("LOWER_BOUND",F2))</x:formula>
    </x:cfRule>
  </x:conditionalFormatting>
  <x:conditionalFormatting sqref="O2:O9">
    <x:cfRule type="expression" dxfId="2" priority="3">
      <x:formula>O2&lt;&gt;""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eb80b4ed66d64746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4" id="{A1BEB970-48C5-BD0C-7967-7FA0A8224340}">
            <x14:dataBar>
              <x14:cfvo type="min"/>
              <x14:cfvo type="max"/>
              <x14:fillColor rgb="FFA02B93"/>
              <x14:negativeFillColor auto="1"/>
              <x14:axisColor auto="1"/>
            </x14:dataBar>
          </x14:cfRule>
          <xm:sqref>C2:C9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FormatPr defaultRowHeight="14"/>
  <x:cols>
    <x:col min="1" max="1" width="37" customWidth="1"/>
    <x:col min="2" max="2" width="20" customWidth="1"/>
    <x:col min="3" max="3" width="72" customWidth="1"/>
  </x:cols>
  <x:sheetData>
    <x:row r="1" ht="19">
      <x:c r="A1" s="18" t="s">
        <x:v>99</x:v>
      </x:c>
      <x:c r="B1" s="18"/>
      <x:c r="C1" s="18"/>
      <x:c r="D1" s="18"/>
      <x:c r="E1" s="18"/>
      <x:c r="F1" s="18"/>
    </x:row>
    <x:row r="3">
      <x:c r="A3" s="9" t="s">
        <x:v>100</x:v>
      </x:c>
      <x:c r="B3" s="9" t="s">
        <x:v>101</x:v>
      </x:c>
      <x:c r="C3" s="9" t="s">
        <x:v>102</x:v>
      </x:c>
      <x:c r="E3" s="7" t="s">
        <x:v>20</x:v>
      </x:c>
      <x:c r="F3" s="7" t="s">
        <x:v>21</x:v>
      </x:c>
    </x:row>
    <x:row r="4">
      <x:c r="A4" s="2" t="s">
        <x:v>103</x:v>
      </x:c>
      <x:c r="B4" s="6">
        <x:v>8</x:v>
      </x:c>
      <x:c r="C4" s="2" t="s">
        <x:v>104</x:v>
      </x:c>
      <x:c r="E4" t="s">
        <x:v>36</x:v>
      </x:c>
      <x:c r="F4">
        <x:v>7</x:v>
      </x:c>
    </x:row>
    <x:row r="5">
      <x:c r="A5" s="2" t="s">
        <x:v>105</x:v>
      </x:c>
      <x:c r="B5" s="6">
        <x:v>18</x:v>
      </x:c>
      <x:c r="C5" s="2" t="s">
        <x:v>106</x:v>
      </x:c>
      <x:c r="E5" t="s">
        <x:v>45</x:v>
      </x:c>
      <x:c r="F5">
        <x:v>1</x:v>
      </x:c>
    </x:row>
    <x:row r="6">
      <x:c r="A6" s="2" t="s">
        <x:v>107</x:v>
      </x:c>
      <x:c r="B6" s="6">
        <x:v>17</x:v>
      </x:c>
      <x:c r="C6" s="2" t="s">
        <x:v>108</x:v>
      </x:c>
      <x:c r="E6" t="s">
        <x:v>55</x:v>
      </x:c>
      <x:c r="F6">
        <x:v>2</x:v>
      </x:c>
    </x:row>
    <x:row r="7">
      <x:c r="A7" s="2" t="s">
        <x:v>109</x:v>
      </x:c>
      <x:c r="B7" s="6">
        <x:v>1</x:v>
      </x:c>
      <x:c r="C7" s="2" t="s">
        <x:v>110</x:v>
      </x:c>
      <x:c r="E7" t="s">
        <x:v>63</x:v>
      </x:c>
      <x:c r="F7">
        <x:v>2</x:v>
      </x:c>
    </x:row>
    <x:row r="8">
      <x:c r="A8" s="2" t="s">
        <x:v>12</x:v>
      </x:c>
      <x:c r="B8" s="6">
        <x:v>173663.5883</x:v>
      </x:c>
      <x:c r="C8" s="2" t="s">
        <x:v>111</x:v>
      </x:c>
      <x:c r="E8" t="s">
        <x:v>70</x:v>
      </x:c>
      <x:c r="F8">
        <x:v>3</x:v>
      </x:c>
    </x:row>
    <x:row r="9">
      <x:c r="A9" s="2" t="s">
        <x:v>112</x:v>
      </x:c>
      <x:c r="B9" s="6">
        <x:v>17480.907999999999</x:v>
      </x:c>
      <x:c r="C9" s="2" t="s">
        <x:v>113</x:v>
      </x:c>
      <x:c r="E9" t="s">
        <x:v>78</x:v>
      </x:c>
      <x:c r="F9">
        <x:v>0</x:v>
      </x:c>
    </x:row>
    <x:row r="10">
      <x:c r="A10" s="2" t="s">
        <x:v>114</x:v>
      </x:c>
      <x:c r="B10" s="6">
        <x:v>93</x:v>
      </x:c>
      <x:c r="C10" s="2" t="s">
        <x:v>115</x:v>
      </x:c>
      <x:c r="E10" t="s">
        <x:v>88</x:v>
      </x:c>
      <x:c r="F10">
        <x:v>2</x:v>
      </x:c>
    </x:row>
    <x:row r="11">
      <x:c r="A11" s="2" t="s">
        <x:v>116</x:v>
      </x:c>
      <x:c r="B11" s="6">
        <x:v>16</x:v>
      </x:c>
      <x:c r="C11" s="2" t="s">
        <x:v>117</x:v>
      </x:c>
      <x:c r="E11" t="s">
        <x:v>94</x:v>
      </x:c>
      <x:c r="F11">
        <x:v>1</x:v>
      </x:c>
    </x:row>
    <x:row r="12">
      <x:c r="A12" s="2" t="s">
        <x:v>118</x:v>
      </x:c>
      <x:c r="B12" s="6"/>
      <x:c r="C12" s="2" t="s">
        <x:v>119</x:v>
      </x:c>
    </x:row>
  </x:sheetData>
  <x:mergeCells>
    <x:mergeCell ref="A1:F1"/>
  </x:mergeCells>
  <x:pageMargins left="0.7" right="0.7" top="0.75" bottom="0.75" header="0.3" footer="0.3"/>
  <x:drawing xmlns:r="http://schemas.openxmlformats.org/officeDocument/2006/relationships" r:id="R81f7b42cb5574431"/>
</x:worksheet>
</file>

<file path=xl/worksheets/sheet4.xml><?xml version="1.0" encoding="utf-8"?>
<x:worksheet xmlns:x="http://schemas.openxmlformats.org/spreadsheetml/2006/main">
  <x:sheetFormatPr defaultRowHeight="14"/>
  <x:cols>
    <x:col min="1" max="1" width="12" customWidth="1"/>
    <x:col min="2" max="2" width="26" customWidth="1"/>
    <x:col min="3" max="4" width="53" customWidth="1"/>
    <x:col min="5" max="5" width="58" customWidth="1"/>
    <x:col min="6" max="6" width="14" customWidth="1"/>
    <x:col min="7" max="7" width="25" customWidth="1"/>
  </x:cols>
  <x:sheetData>
    <x:row r="1">
      <x:c r="A1" s="8" t="s">
        <x:v>120</x:v>
      </x:c>
      <x:c r="B1" s="8" t="s">
        <x:v>121</x:v>
      </x:c>
      <x:c r="C1" s="8" t="s">
        <x:v>122</x:v>
      </x:c>
      <x:c r="D1" s="8" t="s">
        <x:v>123</x:v>
      </x:c>
      <x:c r="E1" s="8" t="s">
        <x:v>124</x:v>
      </x:c>
      <x:c r="F1" s="8" t="s">
        <x:v>125</x:v>
      </x:c>
      <x:c r="G1" s="8" t="s">
        <x:v>126</x:v>
      </x:c>
    </x:row>
    <x:row r="2" ht="28">
      <x:c r="A2" s="2" t="s">
        <x:v>127</x:v>
      </x:c>
      <x:c r="B2" s="2" t="s">
        <x:v>128</x:v>
      </x:c>
      <x:c r="C2" s="2" t="s">
        <x:v>129</x:v>
      </x:c>
      <x:c r="D2" s="2" t="s">
        <x:v>130</x:v>
      </x:c>
      <x:c r="E2" s="2" t="s">
        <x:v>131</x:v>
      </x:c>
      <x:c r="F2" s="2" t="s">
        <x:v>132</x:v>
      </x:c>
      <x:c r="G2" s="42" t="str">
        <x:v>FINAL_APPROVED</x:v>
      </x:c>
    </x:row>
    <x:row r="3" ht="28">
      <x:c r="A3" s="2" t="s">
        <x:v>133</x:v>
      </x:c>
      <x:c r="B3" s="2" t="s">
        <x:v>134</x:v>
      </x:c>
      <x:c r="C3" s="2" t="s">
        <x:v>135</x:v>
      </x:c>
      <x:c r="D3" s="2" t="s">
        <x:v>136</x:v>
      </x:c>
      <x:c r="E3" s="2" t="s">
        <x:v>137</x:v>
      </x:c>
      <x:c r="F3" s="2" t="s">
        <x:v>132</x:v>
      </x:c>
      <x:c r="G3" s="42" t="str">
        <x:v>FINAL_APPROVED</x:v>
      </x:c>
    </x:row>
    <x:row r="4">
      <x:c r="A4" s="2" t="s">
        <x:v>138</x:v>
      </x:c>
      <x:c r="B4" s="2" t="s">
        <x:v>139</x:v>
      </x:c>
      <x:c r="C4" s="2" t="s">
        <x:v>140</x:v>
      </x:c>
      <x:c r="D4" s="2" t="s">
        <x:v>141</x:v>
      </x:c>
      <x:c r="E4" s="2" t="s">
        <x:v>142</x:v>
      </x:c>
      <x:c r="F4" s="2" t="s">
        <x:v>132</x:v>
      </x:c>
      <x:c r="G4" s="42" t="str">
        <x:v>FINAL_APPROVED</x:v>
      </x:c>
    </x:row>
    <x:row r="5" ht="28">
      <x:c r="A5" s="2" t="s">
        <x:v>143</x:v>
      </x:c>
      <x:c r="B5" s="2" t="s">
        <x:v>144</x:v>
      </x:c>
      <x:c r="C5" s="2" t="s">
        <x:v>145</x:v>
      </x:c>
      <x:c r="D5" s="2" t="s">
        <x:v>146</x:v>
      </x:c>
      <x:c r="E5" s="2" t="s">
        <x:v>147</x:v>
      </x:c>
      <x:c r="F5" s="2" t="s">
        <x:v>132</x:v>
      </x:c>
      <x:c r="G5" s="42" t="str">
        <x:v>FINAL_APPROVED</x:v>
      </x:c>
    </x:row>
    <x:row r="6" ht="28">
      <x:c r="A6" s="2" t="s">
        <x:v>148</x:v>
      </x:c>
      <x:c r="B6" s="2" t="s">
        <x:v>149</x:v>
      </x:c>
      <x:c r="C6" s="2" t="s">
        <x:v>150</x:v>
      </x:c>
      <x:c r="D6" s="2" t="s">
        <x:v>151</x:v>
      </x:c>
      <x:c r="E6" s="2" t="s">
        <x:v>152</x:v>
      </x:c>
      <x:c r="F6" s="2" t="s">
        <x:v>153</x:v>
      </x:c>
      <x:c r="G6" s="42" t="str">
        <x:v>FINAL_APPROVED</x:v>
      </x:c>
    </x:row>
    <x:row r="7" ht="28">
      <x:c r="A7" s="2" t="s">
        <x:v>154</x:v>
      </x:c>
      <x:c r="B7" s="2" t="s">
        <x:v>155</x:v>
      </x:c>
      <x:c r="C7" s="2" t="s">
        <x:v>156</x:v>
      </x:c>
      <x:c r="D7" s="2" t="s">
        <x:v>157</x:v>
      </x:c>
      <x:c r="E7" s="2" t="s">
        <x:v>158</x:v>
      </x:c>
      <x:c r="F7" s="2" t="s">
        <x:v>153</x:v>
      </x:c>
      <x:c r="G7" s="42" t="str">
        <x:v>FINAL_APPROVED</x:v>
      </x:c>
    </x:row>
    <x:row r="8" ht="28">
      <x:c r="A8" s="2" t="s">
        <x:v>159</x:v>
      </x:c>
      <x:c r="B8" s="2" t="s">
        <x:v>160</x:v>
      </x:c>
      <x:c r="C8" s="2" t="s">
        <x:v>161</x:v>
      </x:c>
      <x:c r="D8" s="2" t="s">
        <x:v>162</x:v>
      </x:c>
      <x:c r="E8" s="2" t="s">
        <x:v>163</x:v>
      </x:c>
      <x:c r="F8" s="2" t="s">
        <x:v>153</x:v>
      </x:c>
      <x:c r="G8" s="42" t="str">
        <x:v>FINAL_APPROVED</x:v>
      </x:c>
    </x:row>
    <x:row r="9">
      <x:c r="A9" s="2" t="s">
        <x:v>164</x:v>
      </x:c>
      <x:c r="B9" s="2" t="s">
        <x:v>165</x:v>
      </x:c>
      <x:c r="C9" s="2" t="s">
        <x:v>166</x:v>
      </x:c>
      <x:c r="D9" s="2" t="s">
        <x:v>167</x:v>
      </x:c>
      <x:c r="E9" s="2" t="s">
        <x:v>163</x:v>
      </x:c>
      <x:c r="F9" s="2" t="s">
        <x:v>153</x:v>
      </x:c>
      <x:c r="G9" s="42" t="str">
        <x:v>FINAL_APPROVED</x:v>
      </x:c>
    </x:row>
    <x:row r="10" ht="28">
      <x:c r="A10" s="2" t="s">
        <x:v>168</x:v>
      </x:c>
      <x:c r="B10" s="2" t="s">
        <x:v>169</x:v>
      </x:c>
      <x:c r="C10" s="2" t="s">
        <x:v>170</x:v>
      </x:c>
      <x:c r="D10" s="2" t="s">
        <x:v>171</x:v>
      </x:c>
      <x:c r="E10" s="2" t="s">
        <x:v>172</x:v>
      </x:c>
      <x:c r="F10" s="2" t="s">
        <x:v>153</x:v>
      </x:c>
      <x:c r="G10" s="42" t="str">
        <x:v>FINAL_APPROVED</x:v>
      </x:c>
    </x:row>
    <x:row r="11" ht="28">
      <x:c r="A11" s="2" t="s">
        <x:v>173</x:v>
      </x:c>
      <x:c r="B11" s="2" t="s">
        <x:v>174</x:v>
      </x:c>
      <x:c r="C11" s="2" t="s">
        <x:v>175</x:v>
      </x:c>
      <x:c r="D11" s="2" t="s">
        <x:v>176</x:v>
      </x:c>
      <x:c r="E11" s="2" t="s">
        <x:v>177</x:v>
      </x:c>
      <x:c r="F11" s="2" t="s">
        <x:v>153</x:v>
      </x:c>
      <x:c r="G11" s="42" t="str">
        <x:v>FINAL_APPROVED</x:v>
      </x:c>
    </x:row>
    <x:row r="12">
      <x:c r="A12" s="2" t="s">
        <x:v>178</x:v>
      </x:c>
      <x:c r="B12" s="2" t="s">
        <x:v>179</x:v>
      </x:c>
      <x:c r="C12" s="2" t="s">
        <x:v>180</x:v>
      </x:c>
      <x:c r="D12" s="2" t="s">
        <x:v>181</x:v>
      </x:c>
      <x:c r="E12" s="2" t="s">
        <x:v>182</x:v>
      </x:c>
      <x:c r="F12" s="2" t="s">
        <x:v>183</x:v>
      </x:c>
      <x:c r="G12" s="42" t="str">
        <x:v>FINAL_APPROVED</x:v>
      </x:c>
    </x:row>
    <x:row r="13">
      <x:c r="A13" s="2" t="s">
        <x:v>184</x:v>
      </x:c>
      <x:c r="B13" s="2" t="s">
        <x:v>185</x:v>
      </x:c>
      <x:c r="C13" s="2" t="s">
        <x:v>186</x:v>
      </x:c>
      <x:c r="D13" s="2" t="s">
        <x:v>187</x:v>
      </x:c>
      <x:c r="E13" s="2" t="s">
        <x:v>188</x:v>
      </x:c>
      <x:c r="F13" s="2" t="s">
        <x:v>183</x:v>
      </x:c>
      <x:c r="G13" s="42" t="str">
        <x:v>FINAL_APPROVED</x:v>
      </x:c>
    </x:row>
  </x:sheetData>
  <x:conditionalFormatting sqref="F2:F13">
    <x:cfRule type="expression" dxfId="1" priority="1">
      <x:formula>F2="MAJOR"</x:formula>
    </x:cfRule>
    <x:cfRule type="expression" dxfId="0" priority="2">
      <x:formula>F2="MEDIUM"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49e0713f66224ccf"/>
  </x:tableParts>
</x:worksheet>
</file>

<file path=xl/worksheets/sheet5.xml><?xml version="1.0" encoding="utf-8"?>
<x:worksheet xmlns:x="http://schemas.openxmlformats.org/spreadsheetml/2006/main">
  <x:sheetFormatPr defaultRowHeight="14"/>
  <x:cols>
    <x:col min="1" max="1" width="14" customWidth="1"/>
    <x:col min="2" max="2" width="23" customWidth="1"/>
    <x:col min="3" max="3" width="27" customWidth="1"/>
    <x:col min="4" max="4" width="23" customWidth="1"/>
    <x:col min="5" max="5" width="31" customWidth="1"/>
    <x:col min="6" max="6" width="18" customWidth="1"/>
    <x:col min="7" max="7" width="70" customWidth="1"/>
    <x:col min="8" max="8" width="40" customWidth="1"/>
  </x:cols>
  <x:sheetData>
    <x:row r="1">
      <x:c r="A1" s="4" t="s">
        <x:v>20</x:v>
      </x:c>
      <x:c r="B1" s="4" t="s">
        <x:v>23</x:v>
      </x:c>
      <x:c r="C1" s="4" t="s">
        <x:v>189</x:v>
      </x:c>
      <x:c r="D1" s="4" t="s">
        <x:v>190</x:v>
      </x:c>
      <x:c r="E1" s="4" t="s">
        <x:v>191</x:v>
      </x:c>
      <x:c r="F1" s="4" t="s">
        <x:v>192</x:v>
      </x:c>
      <x:c r="G1" s="4" t="s">
        <x:v>193</x:v>
      </x:c>
      <x:c r="H1" s="4" t="s">
        <x:v>194</x:v>
      </x:c>
    </x:row>
    <x:row r="2" ht="28">
      <x:c r="A2" s="2" t="s">
        <x:v>36</x:v>
      </x:c>
      <x:c r="B2" s="3">
        <x:v>27120</x:v>
      </x:c>
      <x:c r="C2" s="2" t="s">
        <x:v>38</x:v>
      </x:c>
      <x:c r="D2" s="6">
        <x:v>13018.195400000001</x:v>
      </x:c>
      <x:c r="E2" s="2" t="s">
        <x:v>38</x:v>
      </x:c>
      <x:c r="F2" s="2" t="s">
        <x:v>195</x:v>
      </x:c>
      <x:c r="G2" s="2" t="s">
        <x:v>196</x:v>
      </x:c>
      <x:c r="H2" s="2" t="s">
        <x:v>43</x:v>
      </x:c>
    </x:row>
    <x:row r="3" ht="28">
      <x:c r="A3" s="2" t="s">
        <x:v>45</x:v>
      </x:c>
      <x:c r="B3" s="3">
        <x:v>1566</x:v>
      </x:c>
      <x:c r="C3" s="2" t="s">
        <x:v>47</x:v>
      </x:c>
      <x:c r="D3" s="6"/>
      <x:c r="E3" s="2" t="s">
        <x:v>49</x:v>
      </x:c>
      <x:c r="F3" s="2" t="s">
        <x:v>195</x:v>
      </x:c>
      <x:c r="G3" s="2" t="s">
        <x:v>197</x:v>
      </x:c>
      <x:c r="H3" s="2" t="s">
        <x:v>53</x:v>
      </x:c>
    </x:row>
    <x:row r="4">
      <x:c r="A4" s="2" t="s">
        <x:v>55</x:v>
      </x:c>
      <x:c r="B4" s="3">
        <x:v>13655.098274</x:v>
      </x:c>
      <x:c r="C4" s="2" t="s">
        <x:v>47</x:v>
      </x:c>
      <x:c r="D4" s="6">
        <x:v>0</x:v>
      </x:c>
      <x:c r="E4" s="2" t="s">
        <x:v>58</x:v>
      </x:c>
      <x:c r="F4" s="2" t="s">
        <x:v>195</x:v>
      </x:c>
      <x:c r="G4" s="2" t="s">
        <x:v>198</x:v>
      </x:c>
      <x:c r="H4" s="2" t="s">
        <x:v>61</x:v>
      </x:c>
    </x:row>
    <x:row r="5" ht="28">
      <x:c r="A5" s="2" t="s">
        <x:v>63</x:v>
      </x:c>
      <x:c r="B5" s="3">
        <x:v>48500</x:v>
      </x:c>
      <x:c r="C5" s="2" t="s">
        <x:v>65</x:v>
      </x:c>
      <x:c r="D5" s="6"/>
      <x:c r="E5" s="2" t="s">
        <x:v>49</x:v>
      </x:c>
      <x:c r="F5" s="2" t="s">
        <x:v>195</x:v>
      </x:c>
      <x:c r="G5" s="2" t="s">
        <x:v>199</x:v>
      </x:c>
      <x:c r="H5" s="2" t="s">
        <x:v>68</x:v>
      </x:c>
    </x:row>
    <x:row r="6" ht="28">
      <x:c r="A6" s="2" t="s">
        <x:v>70</x:v>
      </x:c>
      <x:c r="B6" s="3">
        <x:v>74000</x:v>
      </x:c>
      <x:c r="C6" s="2" t="s">
        <x:v>65</x:v>
      </x:c>
      <x:c r="D6" s="6">
        <x:v>3000</x:v>
      </x:c>
      <x:c r="E6" s="2" t="s">
        <x:v>73</x:v>
      </x:c>
      <x:c r="F6" s="2" t="s">
        <x:v>195</x:v>
      </x:c>
      <x:c r="G6" s="2" t="s">
        <x:v>200</x:v>
      </x:c>
      <x:c r="H6" s="2" t="s">
        <x:v>76</x:v>
      </x:c>
    </x:row>
    <x:row r="7" ht="28">
      <x:c r="A7" s="2" t="s">
        <x:v>78</x:v>
      </x:c>
      <x:c r="B7" s="3"/>
      <x:c r="C7" s="2" t="s">
        <x:v>80</x:v>
      </x:c>
      <x:c r="D7" s="6">
        <x:v>1462.7126000000001</x:v>
      </x:c>
      <x:c r="E7" s="2" t="s">
        <x:v>82</x:v>
      </x:c>
      <x:c r="F7" s="2" t="s">
        <x:v>201</x:v>
      </x:c>
      <x:c r="G7" s="2" t="s">
        <x:v>202</x:v>
      </x:c>
      <x:c r="H7" s="2" t="s">
        <x:v>86</x:v>
      </x:c>
    </x:row>
    <x:row r="8">
      <x:c r="A8" s="2" t="s">
        <x:v>88</x:v>
      </x:c>
      <x:c r="B8" s="3">
        <x:v>4097.49</x:v>
      </x:c>
      <x:c r="C8" s="2" t="s">
        <x:v>65</x:v>
      </x:c>
      <x:c r="D8" s="6"/>
      <x:c r="E8" s="2" t="s">
        <x:v>49</x:v>
      </x:c>
      <x:c r="F8" s="2" t="s">
        <x:v>195</x:v>
      </x:c>
      <x:c r="G8" s="2" t="s">
        <x:v>203</x:v>
      </x:c>
      <x:c r="H8" s="2" t="s">
        <x:v>92</x:v>
      </x:c>
    </x:row>
    <x:row r="9">
      <x:c r="A9" s="2" t="s">
        <x:v>94</x:v>
      </x:c>
      <x:c r="B9" s="3">
        <x:v>4725</x:v>
      </x:c>
      <x:c r="C9" s="2" t="s">
        <x:v>65</x:v>
      </x:c>
      <x:c r="D9" s="6"/>
      <x:c r="E9" s="2" t="s">
        <x:v>49</x:v>
      </x:c>
      <x:c r="F9" s="2" t="s">
        <x:v>195</x:v>
      </x:c>
      <x:c r="G9" s="2" t="s">
        <x:v>204</x:v>
      </x:c>
      <x:c r="H9" s="2" t="s">
        <x:v>98</x:v>
      </x:c>
    </x:row>
    <x:row r="10">
      <x:c r="A10" s="2"/>
      <x:c r="B10" s="3"/>
      <x:c r="C10" s="2"/>
      <x:c r="D10" s="6"/>
      <x:c r="E10" s="2"/>
      <x:c r="F10" s="2"/>
      <x:c r="G10" s="2"/>
      <x:c r="H10" s="2"/>
    </x:row>
    <x:row r="11">
      <x:c r="A11" s="10" t="s">
        <x:v>205</x:v>
      </x:c>
      <x:c r="B11" s="11" t="n">
        <x:f>SUM(B2:B9)</x:f>
        <x:v>173663.58827399998</x:v>
      </x:c>
      <x:c r="C11" s="10"/>
      <x:c r="D11" s="12" t="n">
        <x:f>SUM(D2:D9)</x:f>
        <x:v>17480.908</x:v>
      </x:c>
      <x:c r="E11" s="10"/>
      <x:c r="F11" s="10"/>
      <x:c r="G11" s="10" t="s">
        <x:v>206</x:v>
      </x:c>
      <x:c r="H11" s="10"/>
    </x:row>
    <x:row r="12" ht="29">
      <x:c r="A12" s="13" t="s">
        <x:v>207</x:v>
      </x:c>
      <x:c r="B12" s="14"/>
      <x:c r="C12" s="13"/>
      <x:c r="D12" s="15"/>
      <x:c r="E12" s="13"/>
      <x:c r="F12" s="13"/>
      <x:c r="G12" s="13" t="s">
        <x:v>208</x:v>
      </x:c>
      <x:c r="H12" s="13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4"/>
  <x:cols>
    <x:col min="1" max="1" width="14" customWidth="1"/>
    <x:col min="2" max="2" width="12" customWidth="1"/>
    <x:col min="3" max="3" width="55" customWidth="1"/>
    <x:col min="4" max="4" width="62" customWidth="1"/>
    <x:col min="5" max="5" width="48" customWidth="1"/>
    <x:col min="6" max="6" width="18" customWidth="1"/>
    <x:col min="7" max="7" width="40" customWidth="1"/>
    <x:col min="8" max="8" width="30" customWidth="1"/>
  </x:cols>
  <x:sheetData>
    <x:row r="1">
      <x:c r="A1" s="4" t="s">
        <x:v>209</x:v>
      </x:c>
      <x:c r="B1" s="4" t="s">
        <x:v>210</x:v>
      </x:c>
      <x:c r="C1" s="4" t="s">
        <x:v>211</x:v>
      </x:c>
      <x:c r="D1" s="4" t="s">
        <x:v>212</x:v>
      </x:c>
      <x:c r="E1" s="4" t="s">
        <x:v>213</x:v>
      </x:c>
      <x:c r="F1" s="4" t="s">
        <x:v>214</x:v>
      </x:c>
      <x:c r="G1" s="4" t="s">
        <x:v>215</x:v>
      </x:c>
      <x:c r="H1" s="4" t="s">
        <x:v>216</x:v>
      </x:c>
    </x:row>
    <x:row r="2" ht="28">
      <x:c r="A2" s="2" t="s">
        <x:v>217</x:v>
      </x:c>
      <x:c r="B2" s="2" t="s">
        <x:v>218</x:v>
      </x:c>
      <x:c r="C2" s="2" t="s">
        <x:v>219</x:v>
      </x:c>
      <x:c r="D2" s="2" t="s">
        <x:v>220</x:v>
      </x:c>
      <x:c r="E2" s="2" t="s">
        <x:v>221</x:v>
      </x:c>
      <x:c r="F2" s="38" t="s">
        <x:v>222</x:v>
      </x:c>
      <x:c r="G2" s="38"/>
      <x:c r="H2" s="40" t="str">
        <x:v>FINAL_APPROVED</x:v>
      </x:c>
    </x:row>
    <x:row r="3" ht="28">
      <x:c r="A3" s="2" t="s">
        <x:v>223</x:v>
      </x:c>
      <x:c r="B3" s="2" t="s">
        <x:v>224</x:v>
      </x:c>
      <x:c r="C3" s="2" t="s">
        <x:v>225</x:v>
      </x:c>
      <x:c r="D3" s="2" t="s">
        <x:v>226</x:v>
      </x:c>
      <x:c r="E3" s="2" t="s">
        <x:v>227</x:v>
      </x:c>
      <x:c r="F3" s="38" t="s">
        <x:v>222</x:v>
      </x:c>
      <x:c r="G3" s="38"/>
      <x:c r="H3" s="40" t="str">
        <x:v>FINAL_APPROVED</x:v>
      </x:c>
    </x:row>
    <x:row r="4" ht="28">
      <x:c r="A4" s="2" t="s">
        <x:v>228</x:v>
      </x:c>
      <x:c r="B4" s="2" t="s">
        <x:v>224</x:v>
      </x:c>
      <x:c r="C4" s="2" t="s">
        <x:v>229</x:v>
      </x:c>
      <x:c r="D4" s="2" t="s">
        <x:v>230</x:v>
      </x:c>
      <x:c r="E4" s="2" t="s">
        <x:v>231</x:v>
      </x:c>
      <x:c r="F4" s="38" t="s">
        <x:v>222</x:v>
      </x:c>
      <x:c r="G4" s="38"/>
      <x:c r="H4" s="40" t="str">
        <x:v>FINAL_APPROVED</x:v>
      </x:c>
    </x:row>
    <x:row r="5" ht="28">
      <x:c r="A5" s="2" t="s">
        <x:v>232</x:v>
      </x:c>
      <x:c r="B5" s="2" t="s">
        <x:v>224</x:v>
      </x:c>
      <x:c r="C5" s="2" t="s">
        <x:v>233</x:v>
      </x:c>
      <x:c r="D5" s="2" t="s">
        <x:v>234</x:v>
      </x:c>
      <x:c r="E5" s="2" t="s">
        <x:v>235</x:v>
      </x:c>
      <x:c r="F5" s="38" t="s">
        <x:v>222</x:v>
      </x:c>
      <x:c r="G5" s="38"/>
      <x:c r="H5" s="40" t="str">
        <x:v>FINAL_APPROVED</x:v>
      </x:c>
    </x:row>
  </x:sheetData>
  <x:dataValidations count="1">
    <x:dataValidation type="list" sqref="F2:F5">
      <x:formula1>"确认建议决定,修改后确认,保留待复核"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c175182c22b463e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34" hidden="0" customWidth="1"/>
    <x:col min="3" max="3" width="50" hidden="0" customWidth="1"/>
    <x:col min="4" max="4" width="38" hidden="0" customWidth="1"/>
    <x:col min="5" max="5" width="48" hidden="0" customWidth="1"/>
    <x:col min="6" max="6" width="22" hidden="0" customWidth="1"/>
  </x:cols>
  <x:sheetData>
    <x:row r="1">
      <x:c r="A1" s="47" t="str">
        <x:v>步骤6：统一指标重算与核心报告修订——最终验收</x:v>
      </x:c>
      <x:c r="B1" s="47"/>
      <x:c r="C1" s="47"/>
      <x:c r="D1" s="47"/>
      <x:c r="E1" s="47"/>
      <x:c r="F1" s="47"/>
    </x:row>
    <x:row r="3">
      <x:c r="A3" s="58" t="str">
        <x:v>项目</x:v>
      </x:c>
      <x:c r="B3" s="58" t="str">
        <x:v>验收结果</x:v>
      </x:c>
    </x:row>
    <x:row r="4">
      <x:c r="A4" s="59" t="str">
        <x:v>步骤状态</x:v>
      </x:c>
      <x:c r="B4" s="59" t="str">
        <x:v>FINAL_APPROVED</x:v>
      </x:c>
    </x:row>
    <x:row r="5">
      <x:c r="A5" s="59" t="str">
        <x:v>复核事项</x:v>
      </x:c>
      <x:c r="B5" s="59" t="n">
        <x:v>4</x:v>
      </x:c>
    </x:row>
    <x:row r="6">
      <x:c r="A6" s="59" t="str">
        <x:v>确认事项</x:v>
      </x:c>
      <x:c r="B6" s="59" t="n">
        <x:v>4</x:v>
      </x:c>
    </x:row>
    <x:row r="7">
      <x:c r="A7" s="59" t="str">
        <x:v>保留待复核</x:v>
      </x:c>
      <x:c r="B7" s="59" t="n">
        <x:v>0</x:v>
      </x:c>
    </x:row>
    <x:row r="8">
      <x:c r="A8" s="59" t="str">
        <x:v>八家公司直接股权融资轮次</x:v>
      </x:c>
      <x:c r="B8" s="59" t="n">
        <x:v>18</x:v>
      </x:c>
    </x:row>
    <x:row r="9">
      <x:c r="A9" s="59" t="str">
        <x:v>云汉芯城融资轮次</x:v>
      </x:c>
      <x:c r="B9" s="59" t="n">
        <x:v>7</x:v>
      </x:c>
    </x:row>
    <x:row r="10">
      <x:c r="A10" s="59" t="str">
        <x:v>可核验公司融资金额下限（万元）</x:v>
      </x:c>
      <x:c r="B10" s="61" t="n">
        <x:v>173663.59</x:v>
      </x:c>
    </x:row>
    <x:row r="11">
      <x:c r="A11" s="59" t="str">
        <x:v>可核验老股转让对价下限（万元）</x:v>
      </x:c>
      <x:c r="B11" s="61" t="n">
        <x:v>17480.908</x:v>
      </x:c>
    </x:row>
    <x:row r="12">
      <x:c r="A12" s="59" t="str">
        <x:v>确认PE/VC法律主体记录</x:v>
      </x:c>
      <x:c r="B12" s="59" t="n">
        <x:v>16</x:v>
      </x:c>
    </x:row>
    <x:row r="13">
      <x:c r="A13" s="59" t="str">
        <x:v>PE/VC投资体系总数</x:v>
      </x:c>
      <x:c r="B13" s="59" t="str">
        <x:v>暂不生成</x:v>
      </x:c>
    </x:row>
    <x:row r="14">
      <x:c r="A14" s="59" t="str">
        <x:v>下一步骤</x:v>
      </x:c>
      <x:c r="B14" s="59" t="str">
        <x:v>步骤7：最终版本、提交结构与归档</x:v>
      </x:c>
    </x:row>
    <x:row r="16">
      <x:c r="A16" s="69" t="str">
        <x:v>最终决定</x:v>
      </x:c>
      <x:c r="B16" s="69" t="str">
        <x:v>原口径/状态</x:v>
      </x:c>
      <x:c r="C16" s="69" t="str">
        <x:v>最终结果</x:v>
      </x:c>
      <x:c r="D16" s="69" t="str">
        <x:v>适用范围</x:v>
      </x:c>
      <x:c r="E16" s="69" t="str">
        <x:v>注意事项</x:v>
      </x:c>
      <x:c r="F16" s="69" t="str">
        <x:v>状态</x:v>
      </x:c>
    </x:row>
    <x:row r="17">
      <x:c r="A17" s="59" t="str">
        <x:v>融资轮次</x:v>
      </x:c>
      <x:c r="B17" s="59" t="str">
        <x:v>云汉6轮、样本17轮</x:v>
      </x:c>
      <x:c r="C17" s="59" t="str">
        <x:v>云汉7轮、样本至少18轮</x:v>
      </x:c>
      <x:c r="D17" s="59" t="str">
        <x:v>报告全文、表格、图表和结论</x:v>
      </x:c>
      <x:c r="E17" s="59" t="str">
        <x:v>2009年复合事件只对增资计1轮</x:v>
      </x:c>
      <x:c r="F17" s="59" t="str">
        <x:v>FINAL_APPROVED</x:v>
      </x:c>
    </x:row>
    <x:row r="18">
      <x:c r="A18" s="59" t="str">
        <x:v>金额指标</x:v>
      </x:c>
      <x:c r="B18" s="59" t="str">
        <x:v>未形成统一横向金额指标</x:v>
      </x:c>
      <x:c r="C18" s="59" t="str">
        <x:v>融资金额下限173,663.59万元；转让对价下限17,480.9080万元</x:v>
      </x:c>
      <x:c r="D18" s="59" t="str">
        <x:v>横向比较和修订报告</x:v>
      </x:c>
      <x:c r="E18" s="59" t="str">
        <x:v>均不是完整总额</x:v>
      </x:c>
      <x:c r="F18" s="59" t="str">
        <x:v>FINAL_APPROVED</x:v>
      </x:c>
    </x:row>
    <x:row r="19">
      <x:c r="A19" s="59" t="str">
        <x:v>PE/VC指标</x:v>
      </x:c>
      <x:c r="B19" s="59" t="str">
        <x:v>主体与体系可能混用</x:v>
      </x:c>
      <x:c r="C19" s="59" t="str">
        <x:v>确认法律主体记录16个；体系总数暂不汇总</x:v>
      </x:c>
      <x:c r="D19" s="59" t="str">
        <x:v>云汉、友升、三协及横向总结</x:v>
      </x:c>
      <x:c r="E19" s="59" t="str">
        <x:v>法律主体数不等于投资体系数</x:v>
      </x:c>
      <x:c r="F19" s="59" t="str">
        <x:v>FINAL_APPROVED</x:v>
      </x:c>
    </x:row>
    <x:row r="20">
      <x:c r="A20" s="59" t="str">
        <x:v>定点修改</x:v>
      </x:c>
      <x:c r="B20" s="59" t="str">
        <x:v>三家公司存在可追溯性或分类问题</x:v>
      </x:c>
      <x:c r="C20" s="59" t="str">
        <x:v>三协两轮补入；友升2主体/1体系；赛分增资和转让分列</x:v>
      </x:c>
      <x:c r="D20" s="59" t="str">
        <x:v>公司个案、概览和结论</x:v>
      </x:c>
      <x:c r="E20" s="59" t="str">
        <x:v>沿用步骤4最终人工决定</x:v>
      </x:c>
      <x:c r="F20" s="59" t="str">
        <x:v>FINAL_APPROVED</x:v>
      </x:c>
    </x:row>
    <x:row r="21">
      <x:c r="A21" s="59" t="str">
        <x:v>事实层边界</x:v>
      </x:c>
      <x:c r="B21" s="59" t="str">
        <x:v>招股书原始事实</x:v>
      </x:c>
      <x:c r="C21" s="59" t="str">
        <x:v>不覆盖、不改写</x:v>
      </x:c>
      <x:c r="D21" s="59" t="str">
        <x:v>全部八家公司</x:v>
      </x:c>
      <x:c r="E21" s="59" t="str">
        <x:v>修订发生在统一指标层和研究报告层</x:v>
      </x:c>
      <x:c r="F21" s="59" t="str">
        <x:v>FINAL_APPROVED</x:v>
      </x:c>
    </x:row>
  </x:sheetData>
  <x:mergeCells>
    <x:mergeCell ref="A1:F1"/>
  </x:mergeCells>
  <x:pageMargins left="0.7" right="0.7" top="0.75" bottom="0.75" header="0.3" footer="0.3"/>
</x:worksheet>
</file>